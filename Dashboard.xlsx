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k523\Documents\projects\Supply Chain, Inventory &amp; Logistics Performance Analytics\"/>
    </mc:Choice>
  </mc:AlternateContent>
  <xr:revisionPtr revIDLastSave="0" documentId="13_ncr:1_{755BB364-5E06-4F32-B4CD-999A26EA4703}" xr6:coauthVersionLast="47" xr6:coauthVersionMax="47" xr10:uidLastSave="{00000000-0000-0000-0000-000000000000}"/>
  <bookViews>
    <workbookView xWindow="-108" yWindow="-108" windowWidth="23256" windowHeight="12456" firstSheet="4" activeTab="4" xr2:uid="{8B865A68-5248-4BD2-BB68-00FF6159044F}"/>
  </bookViews>
  <sheets>
    <sheet name="Sheet2" sheetId="3" r:id="rId1"/>
    <sheet name="Sheet3" sheetId="4" r:id="rId2"/>
    <sheet name="KPI_Fulfillment" sheetId="5" r:id="rId3"/>
    <sheet name="KPI_Cancellation &amp; Pending" sheetId="6" r:id="rId4"/>
    <sheet name="Executive_Dashboard" sheetId="7" r:id="rId5"/>
    <sheet name="Pivot_KPI_Helper" sheetId="8" r:id="rId6"/>
    <sheet name="supply_chain_cleaned" sheetId="2" r:id="rId7"/>
    <sheet name="Sheet1" sheetId="1" r:id="rId8"/>
  </sheets>
  <definedNames>
    <definedName name="ExternalData_1" localSheetId="6" hidden="1">supply_chain_cleaned!$A$1:$V$1201</definedName>
    <definedName name="Slicer_Warehouse">#N/A</definedName>
    <definedName name="Slicer_Years__Date">#N/A</definedName>
  </definedNames>
  <calcPr calcId="191029"/>
  <pivotCaches>
    <pivotCache cacheId="5"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2"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65CCDB-259A-4971-8791-4D7AE77AB716}" keepAlive="1" name="Query - supply_chain_cleaned" description="Connection to the 'supply_chain_cleaned' query in the workbook." type="5" refreshedVersion="8" background="1" saveData="1">
    <dbPr connection="Provider=Microsoft.Mashup.OleDb.1;Data Source=$Workbook$;Location=supply_chain_cleaned;Extended Properties=&quot;&quot;" command="SELECT * FROM [supply_chain_cleaned]"/>
  </connection>
</connections>
</file>

<file path=xl/sharedStrings.xml><?xml version="1.0" encoding="utf-8"?>
<sst xmlns="http://schemas.openxmlformats.org/spreadsheetml/2006/main" count="9672" uniqueCount="54">
  <si>
    <t>Date</t>
  </si>
  <si>
    <t>Region</t>
  </si>
  <si>
    <t>Category</t>
  </si>
  <si>
    <t>Supplier</t>
  </si>
  <si>
    <t>Warehouse</t>
  </si>
  <si>
    <t>Order Status</t>
  </si>
  <si>
    <t>Units Sold</t>
  </si>
  <si>
    <t>Inventory Level</t>
  </si>
  <si>
    <t>Transportation Cost</t>
  </si>
  <si>
    <t>Order Accuracy</t>
  </si>
  <si>
    <t>Lead Time (Days)</t>
  </si>
  <si>
    <t>Backorder</t>
  </si>
  <si>
    <t>Cost of Goods Sold (COGS)</t>
  </si>
  <si>
    <t>Average Inventory</t>
  </si>
  <si>
    <t>Warehouse Capacity</t>
  </si>
  <si>
    <t>inventory_status</t>
  </si>
  <si>
    <t>inventory_turnover</t>
  </si>
  <si>
    <t>lead_time_category</t>
  </si>
  <si>
    <t>cost_per_unit</t>
  </si>
  <si>
    <t>warehouse_utilization</t>
  </si>
  <si>
    <t>warehouse_risk</t>
  </si>
  <si>
    <t>backorder_flag</t>
  </si>
  <si>
    <t>North</t>
  </si>
  <si>
    <t>Accessories</t>
  </si>
  <si>
    <t>Supplier A</t>
  </si>
  <si>
    <t>Warehouse 1</t>
  </si>
  <si>
    <t>Fulfilled</t>
  </si>
  <si>
    <t>Overstock</t>
  </si>
  <si>
    <t>Medium</t>
  </si>
  <si>
    <t>Optimal</t>
  </si>
  <si>
    <t>East</t>
  </si>
  <si>
    <t>Furniture</t>
  </si>
  <si>
    <t>Supplier D</t>
  </si>
  <si>
    <t>Warehouse 2</t>
  </si>
  <si>
    <t>Under Utilized</t>
  </si>
  <si>
    <t>Supplier C</t>
  </si>
  <si>
    <t>Understock</t>
  </si>
  <si>
    <t>Slow</t>
  </si>
  <si>
    <t>South</t>
  </si>
  <si>
    <t>Canceled</t>
  </si>
  <si>
    <t>Fast</t>
  </si>
  <si>
    <t>Electronics</t>
  </si>
  <si>
    <t>West</t>
  </si>
  <si>
    <t>Pending</t>
  </si>
  <si>
    <t>Clothing</t>
  </si>
  <si>
    <t>Warehouse 3</t>
  </si>
  <si>
    <t>Supplier B</t>
  </si>
  <si>
    <t>Over Utilized</t>
  </si>
  <si>
    <t>Row Labels</t>
  </si>
  <si>
    <t>Grand Total</t>
  </si>
  <si>
    <t>Count of Order Status</t>
  </si>
  <si>
    <t>Column Labels</t>
  </si>
  <si>
    <t>Average of Lead Time (Days)</t>
  </si>
  <si>
    <t>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</si>
</sst>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0" fontId="0" fillId="0" borderId="0" xfId="0" applyNumberFormat="1"/>
    <xf numFmtId="0" fontId="0" fillId="2" borderId="0" xfId="0" applyFill="1"/>
    <xf numFmtId="0" fontId="0" fillId="0" borderId="0" xfId="0" applyNumberFormat="1"/>
    <xf numFmtId="0" fontId="0" fillId="0" borderId="0" xfId="0" applyAlignment="1">
      <alignment horizontal="left" indent="1"/>
    </xf>
    <xf numFmtId="164" fontId="0" fillId="0" borderId="0" xfId="0" applyNumberFormat="1"/>
  </cellXfs>
  <cellStyles count="1">
    <cellStyle name="Normal" xfId="0" builtinId="0"/>
  </cellStyles>
  <dxfs count="51">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colors>
    <mruColors>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a:t>Orders by Category and Order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Canceled</c:v>
                </c:pt>
              </c:strCache>
            </c:strRef>
          </c:tx>
          <c:spPr>
            <a:solidFill>
              <a:srgbClr val="C00000"/>
            </a:solidFill>
            <a:ln>
              <a:noFill/>
            </a:ln>
            <a:effectLst/>
          </c:spPr>
          <c:invertIfNegative val="0"/>
          <c:cat>
            <c:strRef>
              <c:f>Sheet2!$A$5:$A$9</c:f>
              <c:strCache>
                <c:ptCount val="4"/>
                <c:pt idx="0">
                  <c:v>Accessories</c:v>
                </c:pt>
                <c:pt idx="1">
                  <c:v>Clothing</c:v>
                </c:pt>
                <c:pt idx="2">
                  <c:v>Electronics</c:v>
                </c:pt>
                <c:pt idx="3">
                  <c:v>Furniture</c:v>
                </c:pt>
              </c:strCache>
            </c:strRef>
          </c:cat>
          <c:val>
            <c:numRef>
              <c:f>Sheet2!$B$5:$B$9</c:f>
              <c:numCache>
                <c:formatCode>General</c:formatCode>
                <c:ptCount val="4"/>
                <c:pt idx="0">
                  <c:v>5</c:v>
                </c:pt>
                <c:pt idx="1">
                  <c:v>9</c:v>
                </c:pt>
                <c:pt idx="2">
                  <c:v>14</c:v>
                </c:pt>
                <c:pt idx="3">
                  <c:v>6</c:v>
                </c:pt>
              </c:numCache>
            </c:numRef>
          </c:val>
          <c:extLst>
            <c:ext xmlns:c16="http://schemas.microsoft.com/office/drawing/2014/chart" uri="{C3380CC4-5D6E-409C-BE32-E72D297353CC}">
              <c16:uniqueId val="{00000000-51DD-40B4-80B8-CF86FBCDB69D}"/>
            </c:ext>
          </c:extLst>
        </c:ser>
        <c:ser>
          <c:idx val="1"/>
          <c:order val="1"/>
          <c:tx>
            <c:strRef>
              <c:f>Sheet2!$C$3:$C$4</c:f>
              <c:strCache>
                <c:ptCount val="1"/>
                <c:pt idx="0">
                  <c:v>Fulfilled</c:v>
                </c:pt>
              </c:strCache>
            </c:strRef>
          </c:tx>
          <c:spPr>
            <a:solidFill>
              <a:schemeClr val="accent6"/>
            </a:solidFill>
            <a:ln>
              <a:noFill/>
            </a:ln>
            <a:effectLst/>
          </c:spPr>
          <c:invertIfNegative val="0"/>
          <c:cat>
            <c:strRef>
              <c:f>Sheet2!$A$5:$A$9</c:f>
              <c:strCache>
                <c:ptCount val="4"/>
                <c:pt idx="0">
                  <c:v>Accessories</c:v>
                </c:pt>
                <c:pt idx="1">
                  <c:v>Clothing</c:v>
                </c:pt>
                <c:pt idx="2">
                  <c:v>Electronics</c:v>
                </c:pt>
                <c:pt idx="3">
                  <c:v>Furniture</c:v>
                </c:pt>
              </c:strCache>
            </c:strRef>
          </c:cat>
          <c:val>
            <c:numRef>
              <c:f>Sheet2!$C$5:$C$9</c:f>
              <c:numCache>
                <c:formatCode>General</c:formatCode>
                <c:ptCount val="4"/>
                <c:pt idx="0">
                  <c:v>56</c:v>
                </c:pt>
                <c:pt idx="1">
                  <c:v>78</c:v>
                </c:pt>
                <c:pt idx="2">
                  <c:v>74</c:v>
                </c:pt>
                <c:pt idx="3">
                  <c:v>70</c:v>
                </c:pt>
              </c:numCache>
            </c:numRef>
          </c:val>
          <c:extLst>
            <c:ext xmlns:c16="http://schemas.microsoft.com/office/drawing/2014/chart" uri="{C3380CC4-5D6E-409C-BE32-E72D297353CC}">
              <c16:uniqueId val="{00000001-51DD-40B4-80B8-CF86FBCDB69D}"/>
            </c:ext>
          </c:extLst>
        </c:ser>
        <c:ser>
          <c:idx val="2"/>
          <c:order val="2"/>
          <c:tx>
            <c:strRef>
              <c:f>Sheet2!$D$3:$D$4</c:f>
              <c:strCache>
                <c:ptCount val="1"/>
                <c:pt idx="0">
                  <c:v>Pending</c:v>
                </c:pt>
              </c:strCache>
            </c:strRef>
          </c:tx>
          <c:spPr>
            <a:solidFill>
              <a:schemeClr val="accent2"/>
            </a:solidFill>
            <a:ln>
              <a:noFill/>
            </a:ln>
            <a:effectLst/>
          </c:spPr>
          <c:invertIfNegative val="0"/>
          <c:cat>
            <c:strRef>
              <c:f>Sheet2!$A$5:$A$9</c:f>
              <c:strCache>
                <c:ptCount val="4"/>
                <c:pt idx="0">
                  <c:v>Accessories</c:v>
                </c:pt>
                <c:pt idx="1">
                  <c:v>Clothing</c:v>
                </c:pt>
                <c:pt idx="2">
                  <c:v>Electronics</c:v>
                </c:pt>
                <c:pt idx="3">
                  <c:v>Furniture</c:v>
                </c:pt>
              </c:strCache>
            </c:strRef>
          </c:cat>
          <c:val>
            <c:numRef>
              <c:f>Sheet2!$D$5:$D$9</c:f>
              <c:numCache>
                <c:formatCode>General</c:formatCode>
                <c:ptCount val="4"/>
                <c:pt idx="0">
                  <c:v>20</c:v>
                </c:pt>
                <c:pt idx="1">
                  <c:v>21</c:v>
                </c:pt>
                <c:pt idx="2">
                  <c:v>25</c:v>
                </c:pt>
                <c:pt idx="3">
                  <c:v>25</c:v>
                </c:pt>
              </c:numCache>
            </c:numRef>
          </c:val>
          <c:extLst>
            <c:ext xmlns:c16="http://schemas.microsoft.com/office/drawing/2014/chart" uri="{C3380CC4-5D6E-409C-BE32-E72D297353CC}">
              <c16:uniqueId val="{00000002-51DD-40B4-80B8-CF86FBCDB69D}"/>
            </c:ext>
          </c:extLst>
        </c:ser>
        <c:dLbls>
          <c:showLegendKey val="0"/>
          <c:showVal val="0"/>
          <c:showCatName val="0"/>
          <c:showSerName val="0"/>
          <c:showPercent val="0"/>
          <c:showBubbleSize val="0"/>
        </c:dLbls>
        <c:gapWidth val="219"/>
        <c:overlap val="-27"/>
        <c:axId val="1857378448"/>
        <c:axId val="1857388528"/>
      </c:barChart>
      <c:catAx>
        <c:axId val="1857378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Product Category</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388528"/>
        <c:crosses val="autoZero"/>
        <c:auto val="1"/>
        <c:lblAlgn val="ctr"/>
        <c:lblOffset val="100"/>
        <c:noMultiLvlLbl val="0"/>
      </c:catAx>
      <c:valAx>
        <c:axId val="18573885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Number of Orders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37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[Book1.xlsx]Sheet3!PivotTable2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Lead Time by Warehouse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Sheet3!$A$4:$A$5</c:f>
              <c:strCache>
                <c:ptCount val="1"/>
                <c:pt idx="0">
                  <c:v>Warehouse 1</c:v>
                </c:pt>
              </c:strCache>
            </c:strRef>
          </c:cat>
          <c:val>
            <c:numRef>
              <c:f>Sheet3!$B$4:$B$5</c:f>
              <c:numCache>
                <c:formatCode>0.00</c:formatCode>
                <c:ptCount val="1"/>
                <c:pt idx="0">
                  <c:v>16.166253101736974</c:v>
                </c:pt>
              </c:numCache>
            </c:numRef>
          </c:val>
          <c:extLst>
            <c:ext xmlns:c16="http://schemas.microsoft.com/office/drawing/2014/chart" uri="{C3380CC4-5D6E-409C-BE32-E72D297353CC}">
              <c16:uniqueId val="{00000000-C926-4ADF-AEA5-220D55228B13}"/>
            </c:ext>
          </c:extLst>
        </c:ser>
        <c:dLbls>
          <c:showLegendKey val="0"/>
          <c:showVal val="0"/>
          <c:showCatName val="0"/>
          <c:showSerName val="0"/>
          <c:showPercent val="0"/>
          <c:showBubbleSize val="0"/>
        </c:dLbls>
        <c:gapWidth val="219"/>
        <c:overlap val="-27"/>
        <c:axId val="777539296"/>
        <c:axId val="777539776"/>
      </c:barChart>
      <c:catAx>
        <c:axId val="77753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539776"/>
        <c:crosses val="autoZero"/>
        <c:auto val="1"/>
        <c:lblAlgn val="ctr"/>
        <c:lblOffset val="100"/>
        <c:noMultiLvlLbl val="0"/>
      </c:catAx>
      <c:valAx>
        <c:axId val="7775397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539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[Book1.xlsx]KPI_Fulfillment!PivotTable3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Fulfillment Rate by Warehouse (%)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KPI_Fulfillment!$B$3:$B$4</c:f>
              <c:strCache>
                <c:ptCount val="1"/>
                <c:pt idx="0">
                  <c:v>Canceled</c:v>
                </c:pt>
              </c:strCache>
            </c:strRef>
          </c:tx>
          <c:spPr>
            <a:noFill/>
            <a:ln>
              <a:noFill/>
            </a:ln>
            <a:effectLst/>
          </c:spPr>
          <c:invertIfNegative val="0"/>
          <c:cat>
            <c:multiLvlStrRef>
              <c:f>KPI_Fulfillment!$A$5:$A$7</c:f>
              <c:multiLvlStrCache>
                <c:ptCount val="1"/>
                <c:lvl>
                  <c:pt idx="0">
                    <c:v>2020</c:v>
                  </c:pt>
                </c:lvl>
                <c:lvl>
                  <c:pt idx="0">
                    <c:v>Warehouse 1</c:v>
                  </c:pt>
                </c:lvl>
              </c:multiLvlStrCache>
            </c:multiLvlStrRef>
          </c:cat>
          <c:val>
            <c:numRef>
              <c:f>KPI_Fulfillment!$B$5:$B$7</c:f>
              <c:numCache>
                <c:formatCode>0.00%</c:formatCode>
                <c:ptCount val="1"/>
                <c:pt idx="0">
                  <c:v>0.14285714285714285</c:v>
                </c:pt>
              </c:numCache>
            </c:numRef>
          </c:val>
          <c:extLst>
            <c:ext xmlns:c16="http://schemas.microsoft.com/office/drawing/2014/chart" uri="{C3380CC4-5D6E-409C-BE32-E72D297353CC}">
              <c16:uniqueId val="{00000000-AA7A-455D-BA7B-8F4B92483D1C}"/>
            </c:ext>
          </c:extLst>
        </c:ser>
        <c:ser>
          <c:idx val="1"/>
          <c:order val="1"/>
          <c:tx>
            <c:strRef>
              <c:f>KPI_Fulfillment!$C$3:$C$4</c:f>
              <c:strCache>
                <c:ptCount val="1"/>
                <c:pt idx="0">
                  <c:v>Fulfilled</c:v>
                </c:pt>
              </c:strCache>
            </c:strRef>
          </c:tx>
          <c:spPr>
            <a:solidFill>
              <a:srgbClr val="92D050"/>
            </a:solidFill>
            <a:ln>
              <a:noFill/>
            </a:ln>
            <a:effectLst/>
          </c:spPr>
          <c:invertIfNegative val="0"/>
          <c:cat>
            <c:multiLvlStrRef>
              <c:f>KPI_Fulfillment!$A$5:$A$7</c:f>
              <c:multiLvlStrCache>
                <c:ptCount val="1"/>
                <c:lvl>
                  <c:pt idx="0">
                    <c:v>2020</c:v>
                  </c:pt>
                </c:lvl>
                <c:lvl>
                  <c:pt idx="0">
                    <c:v>Warehouse 1</c:v>
                  </c:pt>
                </c:lvl>
              </c:multiLvlStrCache>
            </c:multiLvlStrRef>
          </c:cat>
          <c:val>
            <c:numRef>
              <c:f>KPI_Fulfillment!$C$5:$C$7</c:f>
              <c:numCache>
                <c:formatCode>0.00%</c:formatCode>
                <c:ptCount val="1"/>
                <c:pt idx="0">
                  <c:v>0.6071428571428571</c:v>
                </c:pt>
              </c:numCache>
            </c:numRef>
          </c:val>
          <c:extLst>
            <c:ext xmlns:c16="http://schemas.microsoft.com/office/drawing/2014/chart" uri="{C3380CC4-5D6E-409C-BE32-E72D297353CC}">
              <c16:uniqueId val="{00000003-D95B-414C-BA77-C918C7E886A1}"/>
            </c:ext>
          </c:extLst>
        </c:ser>
        <c:ser>
          <c:idx val="2"/>
          <c:order val="2"/>
          <c:tx>
            <c:strRef>
              <c:f>KPI_Fulfillment!$D$3:$D$4</c:f>
              <c:strCache>
                <c:ptCount val="1"/>
                <c:pt idx="0">
                  <c:v>Pending</c:v>
                </c:pt>
              </c:strCache>
            </c:strRef>
          </c:tx>
          <c:spPr>
            <a:noFill/>
            <a:ln>
              <a:noFill/>
            </a:ln>
            <a:effectLst/>
          </c:spPr>
          <c:invertIfNegative val="0"/>
          <c:cat>
            <c:multiLvlStrRef>
              <c:f>KPI_Fulfillment!$A$5:$A$7</c:f>
              <c:multiLvlStrCache>
                <c:ptCount val="1"/>
                <c:lvl>
                  <c:pt idx="0">
                    <c:v>2020</c:v>
                  </c:pt>
                </c:lvl>
                <c:lvl>
                  <c:pt idx="0">
                    <c:v>Warehouse 1</c:v>
                  </c:pt>
                </c:lvl>
              </c:multiLvlStrCache>
            </c:multiLvlStrRef>
          </c:cat>
          <c:val>
            <c:numRef>
              <c:f>KPI_Fulfillment!$D$5:$D$7</c:f>
              <c:numCache>
                <c:formatCode>0.00%</c:formatCode>
                <c:ptCount val="1"/>
                <c:pt idx="0">
                  <c:v>0.25</c:v>
                </c:pt>
              </c:numCache>
            </c:numRef>
          </c:val>
          <c:extLst>
            <c:ext xmlns:c16="http://schemas.microsoft.com/office/drawing/2014/chart" uri="{C3380CC4-5D6E-409C-BE32-E72D297353CC}">
              <c16:uniqueId val="{00000004-D95B-414C-BA77-C918C7E886A1}"/>
            </c:ext>
          </c:extLst>
        </c:ser>
        <c:dLbls>
          <c:showLegendKey val="0"/>
          <c:showVal val="0"/>
          <c:showCatName val="0"/>
          <c:showSerName val="0"/>
          <c:showPercent val="0"/>
          <c:showBubbleSize val="0"/>
        </c:dLbls>
        <c:gapWidth val="219"/>
        <c:overlap val="-27"/>
        <c:axId val="1857389008"/>
        <c:axId val="1857393328"/>
      </c:barChart>
      <c:catAx>
        <c:axId val="1857389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Warehouse</a:t>
                </a:r>
                <a:r>
                  <a:rPr lang="en-IN" baseline="0"/>
                  <a:t> Names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393328"/>
        <c:crosses val="autoZero"/>
        <c:auto val="1"/>
        <c:lblAlgn val="ctr"/>
        <c:lblOffset val="100"/>
        <c:noMultiLvlLbl val="0"/>
      </c:catAx>
      <c:valAx>
        <c:axId val="18573933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38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[Book1.xlsx]KPI_Cancellation &amp; Pending!PivotTable4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Cancellation Rate by Warehouse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'KPI_Cancellation &amp; Pending'!$B$3:$B$4</c:f>
              <c:strCache>
                <c:ptCount val="1"/>
                <c:pt idx="0">
                  <c:v>Canceled</c:v>
                </c:pt>
              </c:strCache>
            </c:strRef>
          </c:tx>
          <c:spPr>
            <a:solidFill>
              <a:srgbClr val="C00000"/>
            </a:solidFill>
            <a:ln>
              <a:noFill/>
            </a:ln>
            <a:effectLst/>
          </c:spPr>
          <c:invertIfNegative val="0"/>
          <c:cat>
            <c:strRef>
              <c:f>'KPI_Cancellation &amp; Pending'!$A$5:$A$6</c:f>
              <c:strCache>
                <c:ptCount val="1"/>
                <c:pt idx="0">
                  <c:v>Warehouse 1</c:v>
                </c:pt>
              </c:strCache>
            </c:strRef>
          </c:cat>
          <c:val>
            <c:numRef>
              <c:f>'KPI_Cancellation &amp; Pending'!$B$5:$B$6</c:f>
              <c:numCache>
                <c:formatCode>0.00%</c:formatCode>
                <c:ptCount val="1"/>
                <c:pt idx="0">
                  <c:v>8.4367245657568243E-2</c:v>
                </c:pt>
              </c:numCache>
            </c:numRef>
          </c:val>
          <c:extLst>
            <c:ext xmlns:c16="http://schemas.microsoft.com/office/drawing/2014/chart" uri="{C3380CC4-5D6E-409C-BE32-E72D297353CC}">
              <c16:uniqueId val="{00000000-8E99-42F0-A88D-4393D620106F}"/>
            </c:ext>
          </c:extLst>
        </c:ser>
        <c:ser>
          <c:idx val="1"/>
          <c:order val="1"/>
          <c:tx>
            <c:strRef>
              <c:f>'KPI_Cancellation &amp; Pending'!$C$3:$C$4</c:f>
              <c:strCache>
                <c:ptCount val="1"/>
                <c:pt idx="0">
                  <c:v>Fulfilled</c:v>
                </c:pt>
              </c:strCache>
            </c:strRef>
          </c:tx>
          <c:spPr>
            <a:noFill/>
            <a:ln>
              <a:noFill/>
            </a:ln>
            <a:effectLst/>
          </c:spPr>
          <c:invertIfNegative val="0"/>
          <c:cat>
            <c:strRef>
              <c:f>'KPI_Cancellation &amp; Pending'!$A$5:$A$6</c:f>
              <c:strCache>
                <c:ptCount val="1"/>
                <c:pt idx="0">
                  <c:v>Warehouse 1</c:v>
                </c:pt>
              </c:strCache>
            </c:strRef>
          </c:cat>
          <c:val>
            <c:numRef>
              <c:f>'KPI_Cancellation &amp; Pending'!$C$5:$C$6</c:f>
              <c:numCache>
                <c:formatCode>0.00%</c:formatCode>
                <c:ptCount val="1"/>
                <c:pt idx="0">
                  <c:v>0.6898263027295285</c:v>
                </c:pt>
              </c:numCache>
            </c:numRef>
          </c:val>
          <c:extLst>
            <c:ext xmlns:c16="http://schemas.microsoft.com/office/drawing/2014/chart" uri="{C3380CC4-5D6E-409C-BE32-E72D297353CC}">
              <c16:uniqueId val="{00000008-EE74-40C2-AB80-33C2988E4B01}"/>
            </c:ext>
          </c:extLst>
        </c:ser>
        <c:ser>
          <c:idx val="2"/>
          <c:order val="2"/>
          <c:tx>
            <c:strRef>
              <c:f>'KPI_Cancellation &amp; Pending'!$D$3:$D$4</c:f>
              <c:strCache>
                <c:ptCount val="1"/>
                <c:pt idx="0">
                  <c:v>Pending</c:v>
                </c:pt>
              </c:strCache>
            </c:strRef>
          </c:tx>
          <c:spPr>
            <a:noFill/>
            <a:ln>
              <a:noFill/>
            </a:ln>
            <a:effectLst/>
          </c:spPr>
          <c:invertIfNegative val="0"/>
          <c:cat>
            <c:strRef>
              <c:f>'KPI_Cancellation &amp; Pending'!$A$5:$A$6</c:f>
              <c:strCache>
                <c:ptCount val="1"/>
                <c:pt idx="0">
                  <c:v>Warehouse 1</c:v>
                </c:pt>
              </c:strCache>
            </c:strRef>
          </c:cat>
          <c:val>
            <c:numRef>
              <c:f>'KPI_Cancellation &amp; Pending'!$D$5:$D$6</c:f>
              <c:numCache>
                <c:formatCode>0.00%</c:formatCode>
                <c:ptCount val="1"/>
                <c:pt idx="0">
                  <c:v>0.22580645161290322</c:v>
                </c:pt>
              </c:numCache>
            </c:numRef>
          </c:val>
          <c:extLst>
            <c:ext xmlns:c16="http://schemas.microsoft.com/office/drawing/2014/chart" uri="{C3380CC4-5D6E-409C-BE32-E72D297353CC}">
              <c16:uniqueId val="{00000009-EE74-40C2-AB80-33C2988E4B01}"/>
            </c:ext>
          </c:extLst>
        </c:ser>
        <c:dLbls>
          <c:showLegendKey val="0"/>
          <c:showVal val="0"/>
          <c:showCatName val="0"/>
          <c:showSerName val="0"/>
          <c:showPercent val="0"/>
          <c:showBubbleSize val="0"/>
        </c:dLbls>
        <c:gapWidth val="219"/>
        <c:overlap val="-27"/>
        <c:axId val="1452620559"/>
        <c:axId val="1452620079"/>
      </c:barChart>
      <c:catAx>
        <c:axId val="1452620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Warehouse</a:t>
                </a:r>
                <a:r>
                  <a:rPr lang="en-IN" baseline="0"/>
                  <a:t> Names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620079"/>
        <c:crosses val="autoZero"/>
        <c:auto val="1"/>
        <c:lblAlgn val="ctr"/>
        <c:lblOffset val="100"/>
        <c:noMultiLvlLbl val="0"/>
      </c:catAx>
      <c:valAx>
        <c:axId val="14526200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620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[Book1.xlsx]KPI_Cancellation &amp; Pending!PivotTable1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Pending Order Risk by Warehouse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a:noFill/>
          </a:ln>
          <a:effectLst/>
        </c:spPr>
      </c:pivotFmt>
      <c:pivotFmt>
        <c:idx val="4"/>
        <c:spPr>
          <a:noFill/>
          <a:ln>
            <a:noFill/>
          </a:ln>
          <a:effectLst/>
        </c:spPr>
      </c:pivotFmt>
      <c:pivotFmt>
        <c:idx val="5"/>
        <c:spPr>
          <a:noFill/>
          <a:ln>
            <a:noFill/>
          </a:ln>
          <a:effectLst/>
        </c:spPr>
      </c:pivotFmt>
      <c:pivotFmt>
        <c:idx val="6"/>
        <c:spPr>
          <a:noFill/>
          <a:ln>
            <a:noFill/>
          </a:ln>
          <a:effectLst/>
        </c:spPr>
      </c:pivotFmt>
      <c:pivotFmt>
        <c:idx val="7"/>
        <c:spPr>
          <a:noFill/>
          <a:ln>
            <a:noFill/>
          </a:ln>
          <a:effectLst/>
        </c:spPr>
      </c:pivotFmt>
      <c:pivotFmt>
        <c:idx val="8"/>
        <c:spPr>
          <a:noFill/>
          <a:ln>
            <a:noFill/>
          </a:ln>
          <a:effectLst/>
        </c:spPr>
      </c:pivotFmt>
    </c:pivotFmts>
    <c:plotArea>
      <c:layout/>
      <c:barChart>
        <c:barDir val="col"/>
        <c:grouping val="clustered"/>
        <c:varyColors val="0"/>
        <c:ser>
          <c:idx val="1"/>
          <c:order val="0"/>
          <c:tx>
            <c:strRef>
              <c:f>'KPI_Cancellation &amp; Pending'!$J$3:$J$4</c:f>
              <c:strCache>
                <c:ptCount val="1"/>
                <c:pt idx="0">
                  <c:v>Canceled</c:v>
                </c:pt>
              </c:strCache>
            </c:strRef>
          </c:tx>
          <c:spPr>
            <a:solidFill>
              <a:schemeClr val="accent2"/>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14-164A-4E6E-B6D7-A90B3F7F7165}"/>
              </c:ext>
            </c:extLst>
          </c:dPt>
          <c:dPt>
            <c:idx val="1"/>
            <c:invertIfNegative val="0"/>
            <c:bubble3D val="0"/>
            <c:extLst>
              <c:ext xmlns:c16="http://schemas.microsoft.com/office/drawing/2014/chart" uri="{C3380CC4-5D6E-409C-BE32-E72D297353CC}">
                <c16:uniqueId val="{00000015-164A-4E6E-B6D7-A90B3F7F7165}"/>
              </c:ext>
            </c:extLst>
          </c:dPt>
          <c:dPt>
            <c:idx val="2"/>
            <c:invertIfNegative val="0"/>
            <c:bubble3D val="0"/>
            <c:extLst>
              <c:ext xmlns:c16="http://schemas.microsoft.com/office/drawing/2014/chart" uri="{C3380CC4-5D6E-409C-BE32-E72D297353CC}">
                <c16:uniqueId val="{00000016-164A-4E6E-B6D7-A90B3F7F7165}"/>
              </c:ext>
            </c:extLst>
          </c:dPt>
          <c:cat>
            <c:strRef>
              <c:f>'KPI_Cancellation &amp; Pending'!$I$5:$I$6</c:f>
              <c:strCache>
                <c:ptCount val="1"/>
                <c:pt idx="0">
                  <c:v>Warehouse 1</c:v>
                </c:pt>
              </c:strCache>
            </c:strRef>
          </c:cat>
          <c:val>
            <c:numRef>
              <c:f>'KPI_Cancellation &amp; Pending'!$J$5:$J$6</c:f>
              <c:numCache>
                <c:formatCode>0.00%</c:formatCode>
                <c:ptCount val="1"/>
                <c:pt idx="0">
                  <c:v>8.4367245657568243E-2</c:v>
                </c:pt>
              </c:numCache>
            </c:numRef>
          </c:val>
          <c:extLst>
            <c:ext xmlns:c16="http://schemas.microsoft.com/office/drawing/2014/chart" uri="{C3380CC4-5D6E-409C-BE32-E72D297353CC}">
              <c16:uniqueId val="{0000000E-164A-4E6E-B6D7-A90B3F7F7165}"/>
            </c:ext>
          </c:extLst>
        </c:ser>
        <c:ser>
          <c:idx val="0"/>
          <c:order val="1"/>
          <c:tx>
            <c:strRef>
              <c:f>'KPI_Cancellation &amp; Pending'!$K$3:$K$4</c:f>
              <c:strCache>
                <c:ptCount val="1"/>
                <c:pt idx="0">
                  <c:v>Fulfilled</c:v>
                </c:pt>
              </c:strCache>
            </c:strRef>
          </c:tx>
          <c:spPr>
            <a:solidFill>
              <a:schemeClr val="accent1"/>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12-164A-4E6E-B6D7-A90B3F7F7165}"/>
              </c:ext>
            </c:extLst>
          </c:dPt>
          <c:dPt>
            <c:idx val="1"/>
            <c:invertIfNegative val="0"/>
            <c:bubble3D val="0"/>
            <c:extLst>
              <c:ext xmlns:c16="http://schemas.microsoft.com/office/drawing/2014/chart" uri="{C3380CC4-5D6E-409C-BE32-E72D297353CC}">
                <c16:uniqueId val="{00000013-164A-4E6E-B6D7-A90B3F7F7165}"/>
              </c:ext>
            </c:extLst>
          </c:dPt>
          <c:dPt>
            <c:idx val="2"/>
            <c:invertIfNegative val="0"/>
            <c:bubble3D val="0"/>
            <c:extLst>
              <c:ext xmlns:c16="http://schemas.microsoft.com/office/drawing/2014/chart" uri="{C3380CC4-5D6E-409C-BE32-E72D297353CC}">
                <c16:uniqueId val="{00000011-164A-4E6E-B6D7-A90B3F7F7165}"/>
              </c:ext>
            </c:extLst>
          </c:dPt>
          <c:cat>
            <c:strRef>
              <c:f>'KPI_Cancellation &amp; Pending'!$I$5:$I$6</c:f>
              <c:strCache>
                <c:ptCount val="1"/>
                <c:pt idx="0">
                  <c:v>Warehouse 1</c:v>
                </c:pt>
              </c:strCache>
            </c:strRef>
          </c:cat>
          <c:val>
            <c:numRef>
              <c:f>'KPI_Cancellation &amp; Pending'!$K$5:$K$6</c:f>
              <c:numCache>
                <c:formatCode>0.00%</c:formatCode>
                <c:ptCount val="1"/>
                <c:pt idx="0">
                  <c:v>0.6898263027295285</c:v>
                </c:pt>
              </c:numCache>
            </c:numRef>
          </c:val>
          <c:extLst>
            <c:ext xmlns:c16="http://schemas.microsoft.com/office/drawing/2014/chart" uri="{C3380CC4-5D6E-409C-BE32-E72D297353CC}">
              <c16:uniqueId val="{0000000F-164A-4E6E-B6D7-A90B3F7F7165}"/>
            </c:ext>
          </c:extLst>
        </c:ser>
        <c:ser>
          <c:idx val="2"/>
          <c:order val="2"/>
          <c:tx>
            <c:strRef>
              <c:f>'KPI_Cancellation &amp; Pending'!$L$3:$L$4</c:f>
              <c:strCache>
                <c:ptCount val="1"/>
                <c:pt idx="0">
                  <c:v>Pending</c:v>
                </c:pt>
              </c:strCache>
            </c:strRef>
          </c:tx>
          <c:spPr>
            <a:solidFill>
              <a:schemeClr val="accent2"/>
            </a:solidFill>
            <a:ln>
              <a:noFill/>
            </a:ln>
            <a:effectLst/>
          </c:spPr>
          <c:invertIfNegative val="0"/>
          <c:cat>
            <c:strRef>
              <c:f>'KPI_Cancellation &amp; Pending'!$I$5:$I$6</c:f>
              <c:strCache>
                <c:ptCount val="1"/>
                <c:pt idx="0">
                  <c:v>Warehouse 1</c:v>
                </c:pt>
              </c:strCache>
            </c:strRef>
          </c:cat>
          <c:val>
            <c:numRef>
              <c:f>'KPI_Cancellation &amp; Pending'!$L$5:$L$6</c:f>
              <c:numCache>
                <c:formatCode>0.00%</c:formatCode>
                <c:ptCount val="1"/>
                <c:pt idx="0">
                  <c:v>0.22580645161290322</c:v>
                </c:pt>
              </c:numCache>
            </c:numRef>
          </c:val>
          <c:extLst>
            <c:ext xmlns:c16="http://schemas.microsoft.com/office/drawing/2014/chart" uri="{C3380CC4-5D6E-409C-BE32-E72D297353CC}">
              <c16:uniqueId val="{00000010-164A-4E6E-B6D7-A90B3F7F7165}"/>
            </c:ext>
          </c:extLst>
        </c:ser>
        <c:dLbls>
          <c:showLegendKey val="0"/>
          <c:showVal val="0"/>
          <c:showCatName val="0"/>
          <c:showSerName val="0"/>
          <c:showPercent val="0"/>
          <c:showBubbleSize val="0"/>
        </c:dLbls>
        <c:gapWidth val="219"/>
        <c:overlap val="-27"/>
        <c:axId val="703818207"/>
        <c:axId val="703812927"/>
      </c:barChart>
      <c:catAx>
        <c:axId val="7038182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Warehouse names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812927"/>
        <c:crosses val="autoZero"/>
        <c:auto val="1"/>
        <c:lblAlgn val="ctr"/>
        <c:lblOffset val="100"/>
        <c:noMultiLvlLbl val="0"/>
      </c:catAx>
      <c:valAx>
        <c:axId val="7038129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81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[Book1.xlsx]KPI_Fulfillment!PivotTable3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Fulfillment Rate by Warehouse (%)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no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no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no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no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KPI_Fulfillment!$B$3:$B$4</c:f>
              <c:strCache>
                <c:ptCount val="1"/>
                <c:pt idx="0">
                  <c:v>Canceled</c:v>
                </c:pt>
              </c:strCache>
            </c:strRef>
          </c:tx>
          <c:spPr>
            <a:noFill/>
            <a:ln>
              <a:noFill/>
            </a:ln>
            <a:effectLst/>
          </c:spPr>
          <c:invertIfNegative val="0"/>
          <c:cat>
            <c:multiLvlStrRef>
              <c:f>KPI_Fulfillment!$A$5:$A$7</c:f>
              <c:multiLvlStrCache>
                <c:ptCount val="1"/>
                <c:lvl>
                  <c:pt idx="0">
                    <c:v>2020</c:v>
                  </c:pt>
                </c:lvl>
                <c:lvl>
                  <c:pt idx="0">
                    <c:v>Warehouse 1</c:v>
                  </c:pt>
                </c:lvl>
              </c:multiLvlStrCache>
            </c:multiLvlStrRef>
          </c:cat>
          <c:val>
            <c:numRef>
              <c:f>KPI_Fulfillment!$B$5:$B$7</c:f>
              <c:numCache>
                <c:formatCode>0.00%</c:formatCode>
                <c:ptCount val="1"/>
                <c:pt idx="0">
                  <c:v>0.14285714285714285</c:v>
                </c:pt>
              </c:numCache>
            </c:numRef>
          </c:val>
          <c:extLst>
            <c:ext xmlns:c16="http://schemas.microsoft.com/office/drawing/2014/chart" uri="{C3380CC4-5D6E-409C-BE32-E72D297353CC}">
              <c16:uniqueId val="{00000000-DBBC-482A-ACD7-6CABFF1E4D6C}"/>
            </c:ext>
          </c:extLst>
        </c:ser>
        <c:ser>
          <c:idx val="1"/>
          <c:order val="1"/>
          <c:tx>
            <c:strRef>
              <c:f>KPI_Fulfillment!$C$3:$C$4</c:f>
              <c:strCache>
                <c:ptCount val="1"/>
                <c:pt idx="0">
                  <c:v>Fulfilled</c:v>
                </c:pt>
              </c:strCache>
            </c:strRef>
          </c:tx>
          <c:spPr>
            <a:solidFill>
              <a:srgbClr val="92D050"/>
            </a:solidFill>
            <a:ln>
              <a:noFill/>
            </a:ln>
            <a:effectLst/>
          </c:spPr>
          <c:invertIfNegative val="0"/>
          <c:cat>
            <c:multiLvlStrRef>
              <c:f>KPI_Fulfillment!$A$5:$A$7</c:f>
              <c:multiLvlStrCache>
                <c:ptCount val="1"/>
                <c:lvl>
                  <c:pt idx="0">
                    <c:v>2020</c:v>
                  </c:pt>
                </c:lvl>
                <c:lvl>
                  <c:pt idx="0">
                    <c:v>Warehouse 1</c:v>
                  </c:pt>
                </c:lvl>
              </c:multiLvlStrCache>
            </c:multiLvlStrRef>
          </c:cat>
          <c:val>
            <c:numRef>
              <c:f>KPI_Fulfillment!$C$5:$C$7</c:f>
              <c:numCache>
                <c:formatCode>0.00%</c:formatCode>
                <c:ptCount val="1"/>
                <c:pt idx="0">
                  <c:v>0.6071428571428571</c:v>
                </c:pt>
              </c:numCache>
            </c:numRef>
          </c:val>
          <c:extLst>
            <c:ext xmlns:c16="http://schemas.microsoft.com/office/drawing/2014/chart" uri="{C3380CC4-5D6E-409C-BE32-E72D297353CC}">
              <c16:uniqueId val="{00000001-DBBC-482A-ACD7-6CABFF1E4D6C}"/>
            </c:ext>
          </c:extLst>
        </c:ser>
        <c:ser>
          <c:idx val="2"/>
          <c:order val="2"/>
          <c:tx>
            <c:strRef>
              <c:f>KPI_Fulfillment!$D$3:$D$4</c:f>
              <c:strCache>
                <c:ptCount val="1"/>
                <c:pt idx="0">
                  <c:v>Pending</c:v>
                </c:pt>
              </c:strCache>
            </c:strRef>
          </c:tx>
          <c:spPr>
            <a:noFill/>
            <a:ln>
              <a:noFill/>
            </a:ln>
            <a:effectLst/>
          </c:spPr>
          <c:invertIfNegative val="0"/>
          <c:cat>
            <c:multiLvlStrRef>
              <c:f>KPI_Fulfillment!$A$5:$A$7</c:f>
              <c:multiLvlStrCache>
                <c:ptCount val="1"/>
                <c:lvl>
                  <c:pt idx="0">
                    <c:v>2020</c:v>
                  </c:pt>
                </c:lvl>
                <c:lvl>
                  <c:pt idx="0">
                    <c:v>Warehouse 1</c:v>
                  </c:pt>
                </c:lvl>
              </c:multiLvlStrCache>
            </c:multiLvlStrRef>
          </c:cat>
          <c:val>
            <c:numRef>
              <c:f>KPI_Fulfillment!$D$5:$D$7</c:f>
              <c:numCache>
                <c:formatCode>0.00%</c:formatCode>
                <c:ptCount val="1"/>
                <c:pt idx="0">
                  <c:v>0.25</c:v>
                </c:pt>
              </c:numCache>
            </c:numRef>
          </c:val>
          <c:extLst>
            <c:ext xmlns:c16="http://schemas.microsoft.com/office/drawing/2014/chart" uri="{C3380CC4-5D6E-409C-BE32-E72D297353CC}">
              <c16:uniqueId val="{00000002-DBBC-482A-ACD7-6CABFF1E4D6C}"/>
            </c:ext>
          </c:extLst>
        </c:ser>
        <c:dLbls>
          <c:showLegendKey val="0"/>
          <c:showVal val="0"/>
          <c:showCatName val="0"/>
          <c:showSerName val="0"/>
          <c:showPercent val="0"/>
          <c:showBubbleSize val="0"/>
        </c:dLbls>
        <c:gapWidth val="219"/>
        <c:overlap val="-27"/>
        <c:axId val="1857389008"/>
        <c:axId val="1857393328"/>
      </c:barChart>
      <c:catAx>
        <c:axId val="1857389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Warehouse</a:t>
                </a:r>
                <a:r>
                  <a:rPr lang="en-IN" baseline="0"/>
                  <a:t> Names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393328"/>
        <c:crosses val="autoZero"/>
        <c:auto val="1"/>
        <c:lblAlgn val="ctr"/>
        <c:lblOffset val="100"/>
        <c:noMultiLvlLbl val="0"/>
      </c:catAx>
      <c:valAx>
        <c:axId val="18573933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38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[Book1.xlsx]KPI_Cancellation &amp; Pending!PivotTable4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Cancellation Rate by Warehouse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'KPI_Cancellation &amp; Pending'!$B$3:$B$4</c:f>
              <c:strCache>
                <c:ptCount val="1"/>
                <c:pt idx="0">
                  <c:v>Canceled</c:v>
                </c:pt>
              </c:strCache>
            </c:strRef>
          </c:tx>
          <c:spPr>
            <a:solidFill>
              <a:srgbClr val="C00000"/>
            </a:solidFill>
            <a:ln>
              <a:noFill/>
            </a:ln>
            <a:effectLst/>
          </c:spPr>
          <c:invertIfNegative val="0"/>
          <c:cat>
            <c:strRef>
              <c:f>'KPI_Cancellation &amp; Pending'!$A$5:$A$6</c:f>
              <c:strCache>
                <c:ptCount val="1"/>
                <c:pt idx="0">
                  <c:v>Warehouse 1</c:v>
                </c:pt>
              </c:strCache>
            </c:strRef>
          </c:cat>
          <c:val>
            <c:numRef>
              <c:f>'KPI_Cancellation &amp; Pending'!$B$5:$B$6</c:f>
              <c:numCache>
                <c:formatCode>0.00%</c:formatCode>
                <c:ptCount val="1"/>
                <c:pt idx="0">
                  <c:v>8.4367245657568243E-2</c:v>
                </c:pt>
              </c:numCache>
            </c:numRef>
          </c:val>
          <c:extLst>
            <c:ext xmlns:c16="http://schemas.microsoft.com/office/drawing/2014/chart" uri="{C3380CC4-5D6E-409C-BE32-E72D297353CC}">
              <c16:uniqueId val="{00000000-2B3A-4FA2-A45C-50127FA1AB84}"/>
            </c:ext>
          </c:extLst>
        </c:ser>
        <c:ser>
          <c:idx val="1"/>
          <c:order val="1"/>
          <c:tx>
            <c:strRef>
              <c:f>'KPI_Cancellation &amp; Pending'!$C$3:$C$4</c:f>
              <c:strCache>
                <c:ptCount val="1"/>
                <c:pt idx="0">
                  <c:v>Fulfilled</c:v>
                </c:pt>
              </c:strCache>
            </c:strRef>
          </c:tx>
          <c:spPr>
            <a:noFill/>
            <a:ln>
              <a:noFill/>
            </a:ln>
            <a:effectLst/>
          </c:spPr>
          <c:invertIfNegative val="0"/>
          <c:cat>
            <c:strRef>
              <c:f>'KPI_Cancellation &amp; Pending'!$A$5:$A$6</c:f>
              <c:strCache>
                <c:ptCount val="1"/>
                <c:pt idx="0">
                  <c:v>Warehouse 1</c:v>
                </c:pt>
              </c:strCache>
            </c:strRef>
          </c:cat>
          <c:val>
            <c:numRef>
              <c:f>'KPI_Cancellation &amp; Pending'!$C$5:$C$6</c:f>
              <c:numCache>
                <c:formatCode>0.00%</c:formatCode>
                <c:ptCount val="1"/>
                <c:pt idx="0">
                  <c:v>0.6898263027295285</c:v>
                </c:pt>
              </c:numCache>
            </c:numRef>
          </c:val>
          <c:extLst>
            <c:ext xmlns:c16="http://schemas.microsoft.com/office/drawing/2014/chart" uri="{C3380CC4-5D6E-409C-BE32-E72D297353CC}">
              <c16:uniqueId val="{00000001-2B3A-4FA2-A45C-50127FA1AB84}"/>
            </c:ext>
          </c:extLst>
        </c:ser>
        <c:ser>
          <c:idx val="2"/>
          <c:order val="2"/>
          <c:tx>
            <c:strRef>
              <c:f>'KPI_Cancellation &amp; Pending'!$D$3:$D$4</c:f>
              <c:strCache>
                <c:ptCount val="1"/>
                <c:pt idx="0">
                  <c:v>Pending</c:v>
                </c:pt>
              </c:strCache>
            </c:strRef>
          </c:tx>
          <c:spPr>
            <a:noFill/>
            <a:ln>
              <a:noFill/>
            </a:ln>
            <a:effectLst/>
          </c:spPr>
          <c:invertIfNegative val="0"/>
          <c:cat>
            <c:strRef>
              <c:f>'KPI_Cancellation &amp; Pending'!$A$5:$A$6</c:f>
              <c:strCache>
                <c:ptCount val="1"/>
                <c:pt idx="0">
                  <c:v>Warehouse 1</c:v>
                </c:pt>
              </c:strCache>
            </c:strRef>
          </c:cat>
          <c:val>
            <c:numRef>
              <c:f>'KPI_Cancellation &amp; Pending'!$D$5:$D$6</c:f>
              <c:numCache>
                <c:formatCode>0.00%</c:formatCode>
                <c:ptCount val="1"/>
                <c:pt idx="0">
                  <c:v>0.22580645161290322</c:v>
                </c:pt>
              </c:numCache>
            </c:numRef>
          </c:val>
          <c:extLst>
            <c:ext xmlns:c16="http://schemas.microsoft.com/office/drawing/2014/chart" uri="{C3380CC4-5D6E-409C-BE32-E72D297353CC}">
              <c16:uniqueId val="{00000002-2B3A-4FA2-A45C-50127FA1AB84}"/>
            </c:ext>
          </c:extLst>
        </c:ser>
        <c:dLbls>
          <c:showLegendKey val="0"/>
          <c:showVal val="0"/>
          <c:showCatName val="0"/>
          <c:showSerName val="0"/>
          <c:showPercent val="0"/>
          <c:showBubbleSize val="0"/>
        </c:dLbls>
        <c:gapWidth val="219"/>
        <c:overlap val="-27"/>
        <c:axId val="1452620559"/>
        <c:axId val="1452620079"/>
      </c:barChart>
      <c:catAx>
        <c:axId val="1452620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Warehouse</a:t>
                </a:r>
                <a:r>
                  <a:rPr lang="en-IN" baseline="0"/>
                  <a:t> Names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620079"/>
        <c:crosses val="autoZero"/>
        <c:auto val="1"/>
        <c:lblAlgn val="ctr"/>
        <c:lblOffset val="100"/>
        <c:noMultiLvlLbl val="0"/>
      </c:catAx>
      <c:valAx>
        <c:axId val="14526200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620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[Book1.xlsx]KPI_Cancellation &amp; Pending!PivotTable1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Pending Order Risk by Warehouse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a:noFill/>
          </a:ln>
          <a:effectLst/>
        </c:spPr>
      </c:pivotFmt>
      <c:pivotFmt>
        <c:idx val="4"/>
        <c:spPr>
          <a:noFill/>
          <a:ln>
            <a:noFill/>
          </a:ln>
          <a:effectLst/>
        </c:spPr>
      </c:pivotFmt>
      <c:pivotFmt>
        <c:idx val="5"/>
        <c:spPr>
          <a:noFill/>
          <a:ln>
            <a:noFill/>
          </a:ln>
          <a:effectLst/>
        </c:spPr>
      </c:pivotFmt>
      <c:pivotFmt>
        <c:idx val="6"/>
        <c:spPr>
          <a:noFill/>
          <a:ln>
            <a:noFill/>
          </a:ln>
          <a:effectLst/>
        </c:spPr>
      </c:pivotFmt>
      <c:pivotFmt>
        <c:idx val="7"/>
        <c:spPr>
          <a:noFill/>
          <a:ln>
            <a:noFill/>
          </a:ln>
          <a:effectLst/>
        </c:spPr>
      </c:pivotFmt>
      <c:pivotFmt>
        <c:idx val="8"/>
        <c:spPr>
          <a:no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a:noFill/>
          </a:ln>
          <a:effectLst/>
        </c:spPr>
      </c:pivotFmt>
      <c:pivotFmt>
        <c:idx val="11"/>
        <c:spPr>
          <a:noFill/>
          <a:ln>
            <a:noFill/>
          </a:ln>
          <a:effectLst/>
        </c:spPr>
      </c:pivotFmt>
      <c:pivotFmt>
        <c:idx val="12"/>
        <c:spPr>
          <a:no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a:noFill/>
          </a:ln>
          <a:effectLst/>
        </c:spPr>
      </c:pivotFmt>
      <c:pivotFmt>
        <c:idx val="15"/>
        <c:spPr>
          <a:noFill/>
          <a:ln>
            <a:noFill/>
          </a:ln>
          <a:effectLst/>
        </c:spPr>
      </c:pivotFmt>
      <c:pivotFmt>
        <c:idx val="16"/>
        <c:spPr>
          <a:noFill/>
          <a:ln>
            <a:noFill/>
          </a:ln>
          <a:effectLst/>
        </c:spPr>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a:noFill/>
          </a:ln>
          <a:effectLst/>
        </c:spPr>
      </c:pivotFmt>
      <c:pivotFmt>
        <c:idx val="20"/>
        <c:spPr>
          <a:noFill/>
          <a:ln>
            <a:noFill/>
          </a:ln>
          <a:effectLst/>
        </c:spPr>
      </c:pivotFmt>
      <c:pivotFmt>
        <c:idx val="21"/>
        <c:spPr>
          <a:no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noFill/>
          <a:ln>
            <a:noFill/>
          </a:ln>
          <a:effectLst/>
        </c:spPr>
      </c:pivotFmt>
      <c:pivotFmt>
        <c:idx val="24"/>
        <c:spPr>
          <a:noFill/>
          <a:ln>
            <a:noFill/>
          </a:ln>
          <a:effectLst/>
        </c:spPr>
      </c:pivotFmt>
      <c:pivotFmt>
        <c:idx val="25"/>
        <c:spPr>
          <a:noFill/>
          <a:ln>
            <a:noFill/>
          </a:ln>
          <a:effectLst/>
        </c:spPr>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'KPI_Cancellation &amp; Pending'!$J$3:$J$4</c:f>
              <c:strCache>
                <c:ptCount val="1"/>
                <c:pt idx="0">
                  <c:v>Canceled</c:v>
                </c:pt>
              </c:strCache>
            </c:strRef>
          </c:tx>
          <c:spPr>
            <a:solidFill>
              <a:schemeClr val="accent2"/>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1-ED27-43AB-A786-E72F5410EB79}"/>
              </c:ext>
            </c:extLst>
          </c:dPt>
          <c:dPt>
            <c:idx val="1"/>
            <c:invertIfNegative val="0"/>
            <c:bubble3D val="0"/>
            <c:extLst>
              <c:ext xmlns:c16="http://schemas.microsoft.com/office/drawing/2014/chart" uri="{C3380CC4-5D6E-409C-BE32-E72D297353CC}">
                <c16:uniqueId val="{00000003-ED27-43AB-A786-E72F5410EB79}"/>
              </c:ext>
            </c:extLst>
          </c:dPt>
          <c:dPt>
            <c:idx val="2"/>
            <c:invertIfNegative val="0"/>
            <c:bubble3D val="0"/>
            <c:extLst>
              <c:ext xmlns:c16="http://schemas.microsoft.com/office/drawing/2014/chart" uri="{C3380CC4-5D6E-409C-BE32-E72D297353CC}">
                <c16:uniqueId val="{00000005-ED27-43AB-A786-E72F5410EB79}"/>
              </c:ext>
            </c:extLst>
          </c:dPt>
          <c:cat>
            <c:strRef>
              <c:f>'KPI_Cancellation &amp; Pending'!$I$5:$I$6</c:f>
              <c:strCache>
                <c:ptCount val="1"/>
                <c:pt idx="0">
                  <c:v>Warehouse 1</c:v>
                </c:pt>
              </c:strCache>
            </c:strRef>
          </c:cat>
          <c:val>
            <c:numRef>
              <c:f>'KPI_Cancellation &amp; Pending'!$J$5:$J$6</c:f>
              <c:numCache>
                <c:formatCode>0.00%</c:formatCode>
                <c:ptCount val="1"/>
                <c:pt idx="0">
                  <c:v>8.4367245657568243E-2</c:v>
                </c:pt>
              </c:numCache>
            </c:numRef>
          </c:val>
          <c:extLst>
            <c:ext xmlns:c16="http://schemas.microsoft.com/office/drawing/2014/chart" uri="{C3380CC4-5D6E-409C-BE32-E72D297353CC}">
              <c16:uniqueId val="{00000006-ED27-43AB-A786-E72F5410EB79}"/>
            </c:ext>
          </c:extLst>
        </c:ser>
        <c:ser>
          <c:idx val="0"/>
          <c:order val="1"/>
          <c:tx>
            <c:strRef>
              <c:f>'KPI_Cancellation &amp; Pending'!$K$3:$K$4</c:f>
              <c:strCache>
                <c:ptCount val="1"/>
                <c:pt idx="0">
                  <c:v>Fulfilled</c:v>
                </c:pt>
              </c:strCache>
            </c:strRef>
          </c:tx>
          <c:spPr>
            <a:solidFill>
              <a:schemeClr val="accent1"/>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8-ED27-43AB-A786-E72F5410EB79}"/>
              </c:ext>
            </c:extLst>
          </c:dPt>
          <c:dPt>
            <c:idx val="1"/>
            <c:invertIfNegative val="0"/>
            <c:bubble3D val="0"/>
            <c:extLst>
              <c:ext xmlns:c16="http://schemas.microsoft.com/office/drawing/2014/chart" uri="{C3380CC4-5D6E-409C-BE32-E72D297353CC}">
                <c16:uniqueId val="{0000000A-ED27-43AB-A786-E72F5410EB79}"/>
              </c:ext>
            </c:extLst>
          </c:dPt>
          <c:dPt>
            <c:idx val="2"/>
            <c:invertIfNegative val="0"/>
            <c:bubble3D val="0"/>
            <c:extLst>
              <c:ext xmlns:c16="http://schemas.microsoft.com/office/drawing/2014/chart" uri="{C3380CC4-5D6E-409C-BE32-E72D297353CC}">
                <c16:uniqueId val="{0000000C-ED27-43AB-A786-E72F5410EB79}"/>
              </c:ext>
            </c:extLst>
          </c:dPt>
          <c:cat>
            <c:strRef>
              <c:f>'KPI_Cancellation &amp; Pending'!$I$5:$I$6</c:f>
              <c:strCache>
                <c:ptCount val="1"/>
                <c:pt idx="0">
                  <c:v>Warehouse 1</c:v>
                </c:pt>
              </c:strCache>
            </c:strRef>
          </c:cat>
          <c:val>
            <c:numRef>
              <c:f>'KPI_Cancellation &amp; Pending'!$K$5:$K$6</c:f>
              <c:numCache>
                <c:formatCode>0.00%</c:formatCode>
                <c:ptCount val="1"/>
                <c:pt idx="0">
                  <c:v>0.6898263027295285</c:v>
                </c:pt>
              </c:numCache>
            </c:numRef>
          </c:val>
          <c:extLst>
            <c:ext xmlns:c16="http://schemas.microsoft.com/office/drawing/2014/chart" uri="{C3380CC4-5D6E-409C-BE32-E72D297353CC}">
              <c16:uniqueId val="{0000000D-ED27-43AB-A786-E72F5410EB79}"/>
            </c:ext>
          </c:extLst>
        </c:ser>
        <c:ser>
          <c:idx val="2"/>
          <c:order val="2"/>
          <c:tx>
            <c:strRef>
              <c:f>'KPI_Cancellation &amp; Pending'!$L$3:$L$4</c:f>
              <c:strCache>
                <c:ptCount val="1"/>
                <c:pt idx="0">
                  <c:v>Pending</c:v>
                </c:pt>
              </c:strCache>
            </c:strRef>
          </c:tx>
          <c:spPr>
            <a:solidFill>
              <a:schemeClr val="accent2"/>
            </a:solidFill>
            <a:ln>
              <a:noFill/>
            </a:ln>
            <a:effectLst/>
          </c:spPr>
          <c:invertIfNegative val="0"/>
          <c:cat>
            <c:strRef>
              <c:f>'KPI_Cancellation &amp; Pending'!$I$5:$I$6</c:f>
              <c:strCache>
                <c:ptCount val="1"/>
                <c:pt idx="0">
                  <c:v>Warehouse 1</c:v>
                </c:pt>
              </c:strCache>
            </c:strRef>
          </c:cat>
          <c:val>
            <c:numRef>
              <c:f>'KPI_Cancellation &amp; Pending'!$L$5:$L$6</c:f>
              <c:numCache>
                <c:formatCode>0.00%</c:formatCode>
                <c:ptCount val="1"/>
                <c:pt idx="0">
                  <c:v>0.22580645161290322</c:v>
                </c:pt>
              </c:numCache>
            </c:numRef>
          </c:val>
          <c:extLst>
            <c:ext xmlns:c16="http://schemas.microsoft.com/office/drawing/2014/chart" uri="{C3380CC4-5D6E-409C-BE32-E72D297353CC}">
              <c16:uniqueId val="{0000000E-ED27-43AB-A786-E72F5410EB79}"/>
            </c:ext>
          </c:extLst>
        </c:ser>
        <c:dLbls>
          <c:showLegendKey val="0"/>
          <c:showVal val="0"/>
          <c:showCatName val="0"/>
          <c:showSerName val="0"/>
          <c:showPercent val="0"/>
          <c:showBubbleSize val="0"/>
        </c:dLbls>
        <c:gapWidth val="219"/>
        <c:overlap val="-27"/>
        <c:axId val="703818207"/>
        <c:axId val="703812927"/>
      </c:barChart>
      <c:catAx>
        <c:axId val="7038182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Warehouse names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812927"/>
        <c:crosses val="autoZero"/>
        <c:auto val="1"/>
        <c:lblAlgn val="ctr"/>
        <c:lblOffset val="100"/>
        <c:noMultiLvlLbl val="0"/>
      </c:catAx>
      <c:valAx>
        <c:axId val="7038129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81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129540</xdr:colOff>
      <xdr:row>10</xdr:row>
      <xdr:rowOff>87630</xdr:rowOff>
    </xdr:from>
    <xdr:to>
      <xdr:col>10</xdr:col>
      <xdr:colOff>373380</xdr:colOff>
      <xdr:row>25</xdr:row>
      <xdr:rowOff>87630</xdr:rowOff>
    </xdr:to>
    <xdr:graphicFrame macro="">
      <xdr:nvGraphicFramePr>
        <xdr:cNvPr id="2" name="Chart 1">
          <a:extLst>
            <a:ext uri="{FF2B5EF4-FFF2-40B4-BE49-F238E27FC236}">
              <a16:creationId xmlns:a16="http://schemas.microsoft.com/office/drawing/2014/main" id="{BFD3F7D2-92E1-9E56-4676-843C02A0F0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350520</xdr:colOff>
      <xdr:row>7</xdr:row>
      <xdr:rowOff>41910</xdr:rowOff>
    </xdr:from>
    <xdr:to>
      <xdr:col>10</xdr:col>
      <xdr:colOff>45720</xdr:colOff>
      <xdr:row>22</xdr:row>
      <xdr:rowOff>41910</xdr:rowOff>
    </xdr:to>
    <xdr:graphicFrame macro="">
      <xdr:nvGraphicFramePr>
        <xdr:cNvPr id="2" name="Chart 1">
          <a:extLst>
            <a:ext uri="{FF2B5EF4-FFF2-40B4-BE49-F238E27FC236}">
              <a16:creationId xmlns:a16="http://schemas.microsoft.com/office/drawing/2014/main" id="{480C12F7-6AF2-1EF6-D54E-11494C9E79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784860</xdr:colOff>
      <xdr:row>3</xdr:row>
      <xdr:rowOff>95250</xdr:rowOff>
    </xdr:from>
    <xdr:to>
      <xdr:col>8</xdr:col>
      <xdr:colOff>960120</xdr:colOff>
      <xdr:row>18</xdr:row>
      <xdr:rowOff>95250</xdr:rowOff>
    </xdr:to>
    <xdr:graphicFrame macro="">
      <xdr:nvGraphicFramePr>
        <xdr:cNvPr id="5" name="Chart 4">
          <a:extLst>
            <a:ext uri="{FF2B5EF4-FFF2-40B4-BE49-F238E27FC236}">
              <a16:creationId xmlns:a16="http://schemas.microsoft.com/office/drawing/2014/main" id="{FD547D1C-861D-28E1-3EE6-F22FFFA5EB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22860</xdr:colOff>
      <xdr:row>7</xdr:row>
      <xdr:rowOff>83821</xdr:rowOff>
    </xdr:from>
    <xdr:to>
      <xdr:col>14</xdr:col>
      <xdr:colOff>22860</xdr:colOff>
      <xdr:row>14</xdr:row>
      <xdr:rowOff>137161</xdr:rowOff>
    </xdr:to>
    <mc:AlternateContent xmlns:mc="http://schemas.openxmlformats.org/markup-compatibility/2006">
      <mc:Choice xmlns:a14="http://schemas.microsoft.com/office/drawing/2010/main" Requires="a14">
        <xdr:graphicFrame macro="">
          <xdr:nvGraphicFramePr>
            <xdr:cNvPr id="7" name="Warehouse">
              <a:extLst>
                <a:ext uri="{FF2B5EF4-FFF2-40B4-BE49-F238E27FC236}">
                  <a16:creationId xmlns:a16="http://schemas.microsoft.com/office/drawing/2014/main" id="{1625082B-7690-7F01-97B4-A72F76B4A3CB}"/>
                </a:ext>
              </a:extLst>
            </xdr:cNvPr>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dr:sp macro="" textlink="">
          <xdr:nvSpPr>
            <xdr:cNvPr id="0" name=""/>
            <xdr:cNvSpPr>
              <a:spLocks noTextEdit="1"/>
            </xdr:cNvSpPr>
          </xdr:nvSpPr>
          <xdr:spPr>
            <a:xfrm>
              <a:off x="10507980" y="1363981"/>
              <a:ext cx="18288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121920</xdr:colOff>
      <xdr:row>17</xdr:row>
      <xdr:rowOff>106680</xdr:rowOff>
    </xdr:from>
    <xdr:to>
      <xdr:col>5</xdr:col>
      <xdr:colOff>152400</xdr:colOff>
      <xdr:row>31</xdr:row>
      <xdr:rowOff>13335</xdr:rowOff>
    </xdr:to>
    <mc:AlternateContent xmlns:mc="http://schemas.openxmlformats.org/markup-compatibility/2006">
      <mc:Choice xmlns:a14="http://schemas.microsoft.com/office/drawing/2010/main" Requires="a14">
        <xdr:graphicFrame macro="">
          <xdr:nvGraphicFramePr>
            <xdr:cNvPr id="8" name="Years (Date)">
              <a:extLst>
                <a:ext uri="{FF2B5EF4-FFF2-40B4-BE49-F238E27FC236}">
                  <a16:creationId xmlns:a16="http://schemas.microsoft.com/office/drawing/2014/main" id="{281EB69E-EC38-96AA-7620-BCD934CE4907}"/>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2522220" y="3215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99060</xdr:colOff>
      <xdr:row>9</xdr:row>
      <xdr:rowOff>102870</xdr:rowOff>
    </xdr:from>
    <xdr:to>
      <xdr:col>4</xdr:col>
      <xdr:colOff>662940</xdr:colOff>
      <xdr:row>24</xdr:row>
      <xdr:rowOff>102870</xdr:rowOff>
    </xdr:to>
    <xdr:graphicFrame macro="">
      <xdr:nvGraphicFramePr>
        <xdr:cNvPr id="2" name="Chart 1">
          <a:extLst>
            <a:ext uri="{FF2B5EF4-FFF2-40B4-BE49-F238E27FC236}">
              <a16:creationId xmlns:a16="http://schemas.microsoft.com/office/drawing/2014/main" id="{45DAD2C4-837E-5B3E-E3B9-B01B4902D4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76200</xdr:colOff>
      <xdr:row>9</xdr:row>
      <xdr:rowOff>118110</xdr:rowOff>
    </xdr:from>
    <xdr:to>
      <xdr:col>12</xdr:col>
      <xdr:colOff>655320</xdr:colOff>
      <xdr:row>24</xdr:row>
      <xdr:rowOff>118110</xdr:rowOff>
    </xdr:to>
    <xdr:graphicFrame macro="">
      <xdr:nvGraphicFramePr>
        <xdr:cNvPr id="3" name="Chart 2">
          <a:extLst>
            <a:ext uri="{FF2B5EF4-FFF2-40B4-BE49-F238E27FC236}">
              <a16:creationId xmlns:a16="http://schemas.microsoft.com/office/drawing/2014/main" id="{14D45672-8131-C0EC-4F6D-48E2C51F05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99060</xdr:colOff>
      <xdr:row>6</xdr:row>
      <xdr:rowOff>99060</xdr:rowOff>
    </xdr:from>
    <xdr:to>
      <xdr:col>7</xdr:col>
      <xdr:colOff>152400</xdr:colOff>
      <xdr:row>16</xdr:row>
      <xdr:rowOff>30480</xdr:rowOff>
    </xdr:to>
    <xdr:graphicFrame macro="">
      <xdr:nvGraphicFramePr>
        <xdr:cNvPr id="2" name="Chart 1">
          <a:extLst>
            <a:ext uri="{FF2B5EF4-FFF2-40B4-BE49-F238E27FC236}">
              <a16:creationId xmlns:a16="http://schemas.microsoft.com/office/drawing/2014/main" id="{4CFDA6D3-339D-4394-8B53-E58CD5D19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228600</xdr:colOff>
      <xdr:row>6</xdr:row>
      <xdr:rowOff>91440</xdr:rowOff>
    </xdr:from>
    <xdr:to>
      <xdr:col>14</xdr:col>
      <xdr:colOff>274320</xdr:colOff>
      <xdr:row>16</xdr:row>
      <xdr:rowOff>30480</xdr:rowOff>
    </xdr:to>
    <xdr:graphicFrame macro="">
      <xdr:nvGraphicFramePr>
        <xdr:cNvPr id="3" name="Chart 2">
          <a:extLst>
            <a:ext uri="{FF2B5EF4-FFF2-40B4-BE49-F238E27FC236}">
              <a16:creationId xmlns:a16="http://schemas.microsoft.com/office/drawing/2014/main" id="{F4387FFC-6B90-4113-801C-02E590A63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30480</xdr:colOff>
      <xdr:row>16</xdr:row>
      <xdr:rowOff>91440</xdr:rowOff>
    </xdr:from>
    <xdr:to>
      <xdr:col>13</xdr:col>
      <xdr:colOff>266700</xdr:colOff>
      <xdr:row>28</xdr:row>
      <xdr:rowOff>167640</xdr:rowOff>
    </xdr:to>
    <xdr:graphicFrame macro="">
      <xdr:nvGraphicFramePr>
        <xdr:cNvPr id="4" name="Chart 3">
          <a:extLst>
            <a:ext uri="{FF2B5EF4-FFF2-40B4-BE49-F238E27FC236}">
              <a16:creationId xmlns:a16="http://schemas.microsoft.com/office/drawing/2014/main" id="{44FAF76A-1A14-4B31-A2EF-3A786D859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594360</xdr:colOff>
      <xdr:row>0</xdr:row>
      <xdr:rowOff>76200</xdr:rowOff>
    </xdr:from>
    <xdr:to>
      <xdr:col>13</xdr:col>
      <xdr:colOff>304800</xdr:colOff>
      <xdr:row>2</xdr:row>
      <xdr:rowOff>144780</xdr:rowOff>
    </xdr:to>
    <xdr:sp macro="" textlink="">
      <xdr:nvSpPr>
        <xdr:cNvPr id="5" name="TextBox 4">
          <a:extLst>
            <a:ext uri="{FF2B5EF4-FFF2-40B4-BE49-F238E27FC236}">
              <a16:creationId xmlns:a16="http://schemas.microsoft.com/office/drawing/2014/main" id="{E27D4786-04D7-CF55-76BE-DAD53A91F2D0}"/>
            </a:ext>
          </a:extLst>
        </xdr:cNvPr>
        <xdr:cNvSpPr txBox="1">
          <a:spLocks noChangeAspect="1"/>
        </xdr:cNvSpPr>
      </xdr:nvSpPr>
      <xdr:spPr>
        <a:xfrm>
          <a:off x="594360" y="76200"/>
          <a:ext cx="7635240" cy="434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Supply Chain Order Performance</a:t>
          </a:r>
          <a:r>
            <a:rPr lang="en-US" sz="2400" b="1" baseline="0"/>
            <a:t> - Executive Dashboard</a:t>
          </a:r>
          <a:endParaRPr lang="en-US" sz="2400" b="1"/>
        </a:p>
      </xdr:txBody>
    </xdr:sp>
    <xdr:clientData/>
  </xdr:twoCellAnchor>
  <xdr:twoCellAnchor>
    <xdr:from>
      <xdr:col>14</xdr:col>
      <xdr:colOff>342900</xdr:colOff>
      <xdr:row>9</xdr:row>
      <xdr:rowOff>129540</xdr:rowOff>
    </xdr:from>
    <xdr:to>
      <xdr:col>17</xdr:col>
      <xdr:colOff>434340</xdr:colOff>
      <xdr:row>29</xdr:row>
      <xdr:rowOff>0</xdr:rowOff>
    </xdr:to>
    <xdr:sp macro="" textlink="">
      <xdr:nvSpPr>
        <xdr:cNvPr id="7" name="TextBox 6">
          <a:extLst>
            <a:ext uri="{FF2B5EF4-FFF2-40B4-BE49-F238E27FC236}">
              <a16:creationId xmlns:a16="http://schemas.microsoft.com/office/drawing/2014/main" id="{81A8D172-2721-77D1-A9F5-764E5B57F941}"/>
            </a:ext>
          </a:extLst>
        </xdr:cNvPr>
        <xdr:cNvSpPr txBox="1"/>
      </xdr:nvSpPr>
      <xdr:spPr>
        <a:xfrm>
          <a:off x="8877300" y="1775460"/>
          <a:ext cx="1920240" cy="35280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baseline="0"/>
            <a:t>          </a:t>
          </a:r>
          <a:r>
            <a:rPr lang="en-IN" sz="1400" b="1" baseline="0"/>
            <a:t>Summary</a:t>
          </a:r>
          <a:endParaRPr lang="en-IN" sz="1400" b="1"/>
        </a:p>
        <a:p>
          <a:pPr marL="162000" indent="-162000">
            <a:lnSpc>
              <a:spcPct val="100000"/>
            </a:lnSpc>
            <a:spcAft>
              <a:spcPts val="600"/>
            </a:spcAft>
            <a:buFont typeface="Arial" panose="020B0604020202020204" pitchFamily="34" charset="0"/>
            <a:buChar char="•"/>
          </a:pPr>
          <a:r>
            <a:rPr lang="en-IN" sz="1300"/>
            <a:t>Warehouse 2 shows the highest fulfillment rate (~71%), indicating strong operational efficiency.</a:t>
          </a:r>
        </a:p>
        <a:p>
          <a:pPr marL="162000" indent="-162000">
            <a:lnSpc>
              <a:spcPct val="100000"/>
            </a:lnSpc>
            <a:spcAft>
              <a:spcPts val="600"/>
            </a:spcAft>
            <a:buFont typeface="Arial" panose="020B0604020202020204" pitchFamily="34" charset="0"/>
            <a:buChar char="•"/>
          </a:pPr>
          <a:r>
            <a:rPr lang="en-IN" sz="1300"/>
            <a:t>Warehouse 3 has the highest cancellation rate (~11.7%), requiring process review.</a:t>
          </a:r>
        </a:p>
        <a:p>
          <a:pPr marL="162000" indent="-162000">
            <a:lnSpc>
              <a:spcPct val="100000"/>
            </a:lnSpc>
            <a:spcAft>
              <a:spcPts val="600"/>
            </a:spcAft>
            <a:buFont typeface="Arial" panose="020B0604020202020204" pitchFamily="34" charset="0"/>
            <a:buChar char="•"/>
          </a:pPr>
          <a:r>
            <a:rPr lang="en-IN" sz="1300"/>
            <a:t>Pending order risk is lowest for Warehouse 3 (~18.9%), suggesting faster issue resolution</a:t>
          </a:r>
          <a:r>
            <a:rPr lang="en-IN" sz="1200"/>
            <a:t>.</a:t>
          </a:r>
        </a:p>
        <a:p>
          <a:endParaRPr lang="en-IN" sz="1100"/>
        </a:p>
      </xdr:txBody>
    </xdr:sp>
    <xdr:clientData/>
  </xdr:twoCellAnchor>
  <xdr:twoCellAnchor editAs="absolute">
    <xdr:from>
      <xdr:col>14</xdr:col>
      <xdr:colOff>335280</xdr:colOff>
      <xdr:row>2</xdr:row>
      <xdr:rowOff>175260</xdr:rowOff>
    </xdr:from>
    <xdr:to>
      <xdr:col>17</xdr:col>
      <xdr:colOff>426720</xdr:colOff>
      <xdr:row>9</xdr:row>
      <xdr:rowOff>53340</xdr:rowOff>
    </xdr:to>
    <mc:AlternateContent xmlns:mc="http://schemas.openxmlformats.org/markup-compatibility/2006">
      <mc:Choice xmlns:a14="http://schemas.microsoft.com/office/drawing/2010/main" Requires="a14">
        <xdr:graphicFrame macro="">
          <xdr:nvGraphicFramePr>
            <xdr:cNvPr id="13" name="Warehouse 1">
              <a:extLst>
                <a:ext uri="{FF2B5EF4-FFF2-40B4-BE49-F238E27FC236}">
                  <a16:creationId xmlns:a16="http://schemas.microsoft.com/office/drawing/2014/main" id="{D94DCD2D-A82E-467F-AF81-66A8B442DC86}"/>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Warehouse 1"/>
            </a:graphicData>
          </a:graphic>
        </xdr:graphicFrame>
      </mc:Choice>
      <mc:Fallback>
        <xdr:sp macro="" textlink="">
          <xdr:nvSpPr>
            <xdr:cNvPr id="0" name=""/>
            <xdr:cNvSpPr>
              <a:spLocks noTextEdit="1"/>
            </xdr:cNvSpPr>
          </xdr:nvSpPr>
          <xdr:spPr>
            <a:xfrm>
              <a:off x="8869680" y="541020"/>
              <a:ext cx="192024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0</xdr:colOff>
      <xdr:row>7</xdr:row>
      <xdr:rowOff>0</xdr:rowOff>
    </xdr:from>
    <xdr:to>
      <xdr:col>28</xdr:col>
      <xdr:colOff>76200</xdr:colOff>
      <xdr:row>10</xdr:row>
      <xdr:rowOff>0</xdr:rowOff>
    </xdr:to>
    <xdr:sp macro="" textlink="">
      <xdr:nvSpPr>
        <xdr:cNvPr id="5121" name="Text Box 1">
          <a:extLst>
            <a:ext uri="{FF2B5EF4-FFF2-40B4-BE49-F238E27FC236}">
              <a16:creationId xmlns:a16="http://schemas.microsoft.com/office/drawing/2014/main" id="{B2AE9A2B-3C60-0638-5055-70A7A3660780}"/>
            </a:ext>
          </a:extLst>
        </xdr:cNvPr>
        <xdr:cNvSpPr txBox="1">
          <a:spLocks noChangeArrowheads="1"/>
        </xdr:cNvSpPr>
      </xdr:nvSpPr>
      <xdr:spPr bwMode="auto">
        <a:xfrm>
          <a:off x="16459200" y="1280160"/>
          <a:ext cx="685800" cy="5486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Calibri"/>
              <a:ea typeface="Calibri"/>
              <a:cs typeface="Calibri"/>
            </a:rPr>
            <a:t>=AB2</a:t>
          </a:r>
        </a:p>
      </xdr:txBody>
    </xdr:sp>
    <xdr:clientData/>
  </xdr:twoCellAnchor>
  <xdr:twoCellAnchor>
    <xdr:from>
      <xdr:col>0</xdr:col>
      <xdr:colOff>106680</xdr:colOff>
      <xdr:row>3</xdr:row>
      <xdr:rowOff>7620</xdr:rowOff>
    </xdr:from>
    <xdr:to>
      <xdr:col>4</xdr:col>
      <xdr:colOff>510540</xdr:colOff>
      <xdr:row>5</xdr:row>
      <xdr:rowOff>167640</xdr:rowOff>
    </xdr:to>
    <xdr:sp macro="" textlink="Pivot_KPI_Helper!B5">
      <xdr:nvSpPr>
        <xdr:cNvPr id="21" name="TextBox 20">
          <a:extLst>
            <a:ext uri="{FF2B5EF4-FFF2-40B4-BE49-F238E27FC236}">
              <a16:creationId xmlns:a16="http://schemas.microsoft.com/office/drawing/2014/main" id="{F665F135-4843-22B0-5A96-57987E2EE14D}"/>
            </a:ext>
          </a:extLst>
        </xdr:cNvPr>
        <xdr:cNvSpPr txBox="1"/>
      </xdr:nvSpPr>
      <xdr:spPr>
        <a:xfrm>
          <a:off x="106680" y="556260"/>
          <a:ext cx="2842260" cy="525780"/>
        </a:xfrm>
        <a:prstGeom prst="rect">
          <a:avLst/>
        </a:prstGeom>
        <a:solidFill>
          <a:schemeClr val="lt1"/>
        </a:solidFill>
        <a:ln w="952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09DC295-E4D6-4595-A5DB-7A8C174CCC94}" type="TxLink">
            <a:rPr lang="en-US" sz="2000" b="1" i="0" u="none" strike="noStrike">
              <a:solidFill>
                <a:schemeClr val="tx1">
                  <a:lumMod val="75000"/>
                  <a:lumOff val="25000"/>
                </a:schemeClr>
              </a:solidFill>
              <a:latin typeface="Calibri"/>
              <a:ea typeface="Calibri"/>
              <a:cs typeface="Calibri"/>
            </a:rPr>
            <a:pPr algn="ctr"/>
            <a:t>69.0%</a:t>
          </a:fld>
          <a:endParaRPr lang="en-US" sz="2000" b="1" i="0" u="none" strike="noStrike">
            <a:solidFill>
              <a:schemeClr val="tx1">
                <a:lumMod val="75000"/>
                <a:lumOff val="25000"/>
              </a:schemeClr>
            </a:solidFill>
            <a:latin typeface="Calibri"/>
            <a:ea typeface="Calibri"/>
            <a:cs typeface="Calibri"/>
          </a:endParaRPr>
        </a:p>
      </xdr:txBody>
    </xdr:sp>
    <xdr:clientData/>
  </xdr:twoCellAnchor>
  <xdr:twoCellAnchor>
    <xdr:from>
      <xdr:col>0</xdr:col>
      <xdr:colOff>579120</xdr:colOff>
      <xdr:row>4</xdr:row>
      <xdr:rowOff>152400</xdr:rowOff>
    </xdr:from>
    <xdr:to>
      <xdr:col>3</xdr:col>
      <xdr:colOff>411480</xdr:colOff>
      <xdr:row>5</xdr:row>
      <xdr:rowOff>167640</xdr:rowOff>
    </xdr:to>
    <xdr:sp macro="" textlink="">
      <xdr:nvSpPr>
        <xdr:cNvPr id="5124" name="Text Box 4">
          <a:extLst>
            <a:ext uri="{FF2B5EF4-FFF2-40B4-BE49-F238E27FC236}">
              <a16:creationId xmlns:a16="http://schemas.microsoft.com/office/drawing/2014/main" id="{36EC5C74-2F1B-A4B1-F67A-A51C7753FAF6}"/>
            </a:ext>
          </a:extLst>
        </xdr:cNvPr>
        <xdr:cNvSpPr txBox="1">
          <a:spLocks noChangeArrowheads="1"/>
        </xdr:cNvSpPr>
      </xdr:nvSpPr>
      <xdr:spPr bwMode="auto">
        <a:xfrm>
          <a:off x="579120" y="883920"/>
          <a:ext cx="1661160" cy="198120"/>
        </a:xfrm>
        <a:prstGeom prst="rect">
          <a:avLst/>
        </a:prstGeom>
        <a:solidFill>
          <a:srgbClr val="FFFFFF"/>
        </a:solidFill>
        <a:ln w="9525">
          <a:noFill/>
          <a:miter lim="800000"/>
          <a:headEnd/>
          <a:tailEnd/>
        </a:ln>
      </xdr:spPr>
      <xdr:txBody>
        <a:bodyPr vertOverflow="clip" wrap="square" lIns="36576" tIns="32004" rIns="0" bIns="0" anchor="t" upright="1"/>
        <a:lstStyle/>
        <a:p>
          <a:pPr algn="ctr" rtl="0">
            <a:defRPr sz="1000"/>
          </a:pPr>
          <a:r>
            <a:rPr lang="en-IN" sz="1100" b="1" i="0" u="none" strike="noStrike" baseline="0">
              <a:solidFill>
                <a:schemeClr val="tx1">
                  <a:lumMod val="75000"/>
                  <a:lumOff val="25000"/>
                </a:schemeClr>
              </a:solidFill>
              <a:latin typeface="+mn-lt"/>
              <a:ea typeface="Calibri"/>
              <a:cs typeface="Calibri"/>
            </a:rPr>
            <a:t>Warehouse Fulfillment Rate</a:t>
          </a:r>
        </a:p>
        <a:p>
          <a:pPr algn="ctr" rtl="0">
            <a:defRPr sz="1000"/>
          </a:pPr>
          <a:endParaRPr lang="en-IN" sz="1100" b="1" i="0" u="none" strike="noStrike" baseline="0">
            <a:solidFill>
              <a:schemeClr val="tx1">
                <a:lumMod val="75000"/>
                <a:lumOff val="25000"/>
              </a:schemeClr>
            </a:solidFill>
            <a:latin typeface="Calibri"/>
            <a:ea typeface="Calibri"/>
            <a:cs typeface="Calibri"/>
          </a:endParaRPr>
        </a:p>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4</xdr:col>
      <xdr:colOff>541020</xdr:colOff>
      <xdr:row>3</xdr:row>
      <xdr:rowOff>22860</xdr:rowOff>
    </xdr:from>
    <xdr:to>
      <xdr:col>9</xdr:col>
      <xdr:colOff>350520</xdr:colOff>
      <xdr:row>6</xdr:row>
      <xdr:rowOff>0</xdr:rowOff>
    </xdr:to>
    <xdr:sp macro="" textlink="Pivot_KPI_Helper!B4">
      <xdr:nvSpPr>
        <xdr:cNvPr id="26" name="Rectangle 25">
          <a:extLst>
            <a:ext uri="{FF2B5EF4-FFF2-40B4-BE49-F238E27FC236}">
              <a16:creationId xmlns:a16="http://schemas.microsoft.com/office/drawing/2014/main" id="{45861FE2-B5EB-1A67-8B94-B4B2DB730163}"/>
            </a:ext>
          </a:extLst>
        </xdr:cNvPr>
        <xdr:cNvSpPr/>
      </xdr:nvSpPr>
      <xdr:spPr>
        <a:xfrm>
          <a:off x="2979420" y="571500"/>
          <a:ext cx="2857500" cy="525780"/>
        </a:xfrm>
        <a:prstGeom prst="rect">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FB7C5D8-86CF-44A3-9E17-27379071C1BC}" type="TxLink">
            <a:rPr lang="en-US" sz="2000" b="1" i="0" u="none" strike="noStrike">
              <a:solidFill>
                <a:schemeClr val="tx1">
                  <a:lumMod val="75000"/>
                  <a:lumOff val="25000"/>
                </a:schemeClr>
              </a:solidFill>
              <a:latin typeface="Calibri"/>
              <a:ea typeface="Calibri"/>
              <a:cs typeface="Calibri"/>
            </a:rPr>
            <a:t>8.4%</a:t>
          </a:fld>
          <a:endParaRPr lang="en-IN" sz="2000" b="1">
            <a:solidFill>
              <a:schemeClr val="tx1">
                <a:lumMod val="75000"/>
                <a:lumOff val="25000"/>
              </a:schemeClr>
            </a:solidFill>
          </a:endParaRPr>
        </a:p>
      </xdr:txBody>
    </xdr:sp>
    <xdr:clientData/>
  </xdr:twoCellAnchor>
  <xdr:twoCellAnchor>
    <xdr:from>
      <xdr:col>9</xdr:col>
      <xdr:colOff>457200</xdr:colOff>
      <xdr:row>3</xdr:row>
      <xdr:rowOff>38100</xdr:rowOff>
    </xdr:from>
    <xdr:to>
      <xdr:col>14</xdr:col>
      <xdr:colOff>266700</xdr:colOff>
      <xdr:row>6</xdr:row>
      <xdr:rowOff>15240</xdr:rowOff>
    </xdr:to>
    <xdr:sp macro="" textlink="Pivot_KPI_Helper!B6">
      <xdr:nvSpPr>
        <xdr:cNvPr id="27" name="Rectangle 26">
          <a:extLst>
            <a:ext uri="{FF2B5EF4-FFF2-40B4-BE49-F238E27FC236}">
              <a16:creationId xmlns:a16="http://schemas.microsoft.com/office/drawing/2014/main" id="{C637552B-BEC4-AFD1-5446-42E8E4C1C736}"/>
            </a:ext>
          </a:extLst>
        </xdr:cNvPr>
        <xdr:cNvSpPr/>
      </xdr:nvSpPr>
      <xdr:spPr>
        <a:xfrm>
          <a:off x="5943600" y="586740"/>
          <a:ext cx="2857500" cy="525780"/>
        </a:xfrm>
        <a:prstGeom prst="rect">
          <a:avLst/>
        </a:prstGeom>
        <a:solidFill>
          <a:sysClr val="window" lastClr="FFFFFF"/>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39BE39E-90B5-4AAA-BE11-C1D5D53D0E78}" type="TxLink">
            <a:rPr lang="en-US" sz="2000" b="1" i="0" u="none" strike="noStrike">
              <a:solidFill>
                <a:schemeClr val="tx1">
                  <a:lumMod val="75000"/>
                  <a:lumOff val="25000"/>
                </a:schemeClr>
              </a:solidFill>
              <a:latin typeface="Calibri"/>
              <a:ea typeface="Calibri"/>
              <a:cs typeface="Calibri"/>
            </a:rPr>
            <a:pPr algn="ctr"/>
            <a:t>22.6%</a:t>
          </a:fld>
          <a:endParaRPr lang="en-IN" sz="2000" b="1">
            <a:solidFill>
              <a:schemeClr val="tx1">
                <a:lumMod val="75000"/>
                <a:lumOff val="25000"/>
              </a:schemeClr>
            </a:solidFill>
          </a:endParaRPr>
        </a:p>
      </xdr:txBody>
    </xdr:sp>
    <xdr:clientData/>
  </xdr:twoCellAnchor>
  <xdr:twoCellAnchor>
    <xdr:from>
      <xdr:col>5</xdr:col>
      <xdr:colOff>327660</xdr:colOff>
      <xdr:row>4</xdr:row>
      <xdr:rowOff>144780</xdr:rowOff>
    </xdr:from>
    <xdr:to>
      <xdr:col>8</xdr:col>
      <xdr:colOff>594360</xdr:colOff>
      <xdr:row>5</xdr:row>
      <xdr:rowOff>167640</xdr:rowOff>
    </xdr:to>
    <xdr:sp macro="" textlink="">
      <xdr:nvSpPr>
        <xdr:cNvPr id="28" name="TextBox 27">
          <a:extLst>
            <a:ext uri="{FF2B5EF4-FFF2-40B4-BE49-F238E27FC236}">
              <a16:creationId xmlns:a16="http://schemas.microsoft.com/office/drawing/2014/main" id="{F0A6B53D-3DDE-E2B1-463E-B9C3BAFDC02C}"/>
            </a:ext>
          </a:extLst>
        </xdr:cNvPr>
        <xdr:cNvSpPr txBox="1"/>
      </xdr:nvSpPr>
      <xdr:spPr>
        <a:xfrm>
          <a:off x="3375660" y="876300"/>
          <a:ext cx="2095500" cy="2057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b="1">
              <a:solidFill>
                <a:schemeClr val="tx1">
                  <a:lumMod val="75000"/>
                  <a:lumOff val="25000"/>
                </a:schemeClr>
              </a:solidFill>
            </a:rPr>
            <a:t>Warehouse Cancellation Rate</a:t>
          </a:r>
          <a:endParaRPr lang="en-IN" sz="1100" b="1">
            <a:solidFill>
              <a:schemeClr val="tx1">
                <a:lumMod val="75000"/>
                <a:lumOff val="25000"/>
              </a:schemeClr>
            </a:solidFill>
          </a:endParaRPr>
        </a:p>
      </xdr:txBody>
    </xdr:sp>
    <xdr:clientData/>
  </xdr:twoCellAnchor>
  <xdr:twoCellAnchor>
    <xdr:from>
      <xdr:col>10</xdr:col>
      <xdr:colOff>213360</xdr:colOff>
      <xdr:row>4</xdr:row>
      <xdr:rowOff>144780</xdr:rowOff>
    </xdr:from>
    <xdr:to>
      <xdr:col>13</xdr:col>
      <xdr:colOff>480060</xdr:colOff>
      <xdr:row>5</xdr:row>
      <xdr:rowOff>152400</xdr:rowOff>
    </xdr:to>
    <xdr:sp macro="" textlink="">
      <xdr:nvSpPr>
        <xdr:cNvPr id="30" name="TextBox 29">
          <a:extLst>
            <a:ext uri="{FF2B5EF4-FFF2-40B4-BE49-F238E27FC236}">
              <a16:creationId xmlns:a16="http://schemas.microsoft.com/office/drawing/2014/main" id="{5BB213B9-3AA7-5792-12A2-D7ACF4CE8722}"/>
            </a:ext>
          </a:extLst>
        </xdr:cNvPr>
        <xdr:cNvSpPr txBox="1"/>
      </xdr:nvSpPr>
      <xdr:spPr>
        <a:xfrm>
          <a:off x="6309360" y="876300"/>
          <a:ext cx="209550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b="1">
              <a:solidFill>
                <a:schemeClr val="tx1">
                  <a:lumMod val="75000"/>
                  <a:lumOff val="25000"/>
                </a:schemeClr>
              </a:solidFill>
            </a:rPr>
            <a:t>Warehouse Pending Order Rate</a:t>
          </a:r>
          <a:endParaRPr lang="en-IN" sz="1100" b="1">
            <a:solidFill>
              <a:schemeClr val="tx1">
                <a:lumMod val="75000"/>
                <a:lumOff val="2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endra Kumar" refreshedDate="46033.967009490741" createdVersion="8" refreshedVersion="8" minRefreshableVersion="3" recordCount="1200" xr:uid="{874794F4-B351-4686-B1A5-11168FE18760}">
  <cacheSource type="worksheet">
    <worksheetSource name="supply_chain_cleaned"/>
  </cacheSource>
  <cacheFields count="24">
    <cacheField name="Date" numFmtId="14">
      <sharedItems containsSemiMixedTypes="0" containsNonDate="0" containsDate="1" containsString="0" minDate="2020-01-14T00:00:00" maxDate="2025-01-01T00:00:00" count="1200">
        <d v="2020-01-14T00:00:00"/>
        <d v="2020-11-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4-12-31T00:00:00"/>
        <d v="2024-12-30T00:00:00"/>
        <d v="2024-12-29T00:00:00"/>
        <d v="2024-12-28T00:00:00"/>
        <d v="2024-12-27T00:00:00"/>
        <d v="2024-12-26T00:00:00"/>
        <d v="2024-12-25T00:00:00"/>
        <d v="2024-12-24T00:00:00"/>
        <d v="2024-12-23T00:00:00"/>
        <d v="2024-12-22T00:00:00"/>
        <d v="2024-12-21T00:00:00"/>
        <d v="2024-12-20T00:00:00"/>
        <d v="2024-12-19T00:00:00"/>
        <d v="2024-12-18T00:00:00"/>
        <d v="2024-12-17T00:00:00"/>
        <d v="2024-12-16T00:00:00"/>
        <d v="2024-12-15T00:00:00"/>
        <d v="2024-12-14T00:00:00"/>
        <d v="2024-12-13T00:00:00"/>
        <d v="2024-12-12T00:00:00"/>
        <d v="2024-12-11T00:00:00"/>
        <d v="2024-12-10T00:00:00"/>
        <d v="2024-12-09T00:00:00"/>
        <d v="2024-12-08T00:00:00"/>
        <d v="2024-12-07T00:00:00"/>
        <d v="2024-12-06T00:00:00"/>
        <d v="2024-12-05T00:00:00"/>
        <d v="2024-12-04T00:00:00"/>
        <d v="2024-12-03T00:00:00"/>
        <d v="2024-12-02T00:00:00"/>
        <d v="2024-12-01T00:00:00"/>
        <d v="2024-11-30T00:00:00"/>
        <d v="2024-11-29T00:00:00"/>
        <d v="2024-11-28T00:00:00"/>
        <d v="2024-11-27T00:00:00"/>
        <d v="2024-11-26T00:00:00"/>
        <d v="2024-11-25T00:00:00"/>
        <d v="2024-11-24T00:00:00"/>
        <d v="2024-11-23T00:00:00"/>
        <d v="2024-11-22T00:00:00"/>
        <d v="2024-11-21T00:00:00"/>
        <d v="2024-11-20T00:00:00"/>
        <d v="2024-11-19T00:00:00"/>
        <d v="2024-11-18T00:00:00"/>
        <d v="2024-11-17T00:00:00"/>
        <d v="2024-11-16T00:00:00"/>
        <d v="2024-11-15T00:00:00"/>
        <d v="2024-11-14T00:00:00"/>
        <d v="2024-11-13T00:00:00"/>
        <d v="2024-11-12T00:00:00"/>
        <d v="2024-11-11T00:00:00"/>
        <d v="2024-11-10T00:00:00"/>
        <d v="2024-11-09T00:00:00"/>
        <d v="2024-11-08T00:00:00"/>
        <d v="2024-11-07T00:00:00"/>
        <d v="2024-11-06T00:00:00"/>
        <d v="2024-11-05T00:00:00"/>
        <d v="2024-11-04T00:00:00"/>
        <d v="2024-11-03T00:00:00"/>
        <d v="2024-11-02T00:00:00"/>
        <d v="2024-11-01T00:00:00"/>
        <d v="2024-10-31T00:00:00"/>
        <d v="2024-10-30T00:00:00"/>
        <d v="2024-10-29T00:00:00"/>
        <d v="2024-10-28T00:00:00"/>
        <d v="2024-10-27T00:00:00"/>
        <d v="2024-10-26T00:00:00"/>
        <d v="2024-10-25T00:00:00"/>
        <d v="2024-10-24T00:00:00"/>
        <d v="2024-10-23T00:00:00"/>
        <d v="2024-10-22T00:00:00"/>
        <d v="2024-10-21T00:00:00"/>
        <d v="2024-10-20T00:00:00"/>
        <d v="2024-10-19T00:00:00"/>
        <d v="2024-10-18T00:00:00"/>
        <d v="2024-10-17T00:00:00"/>
        <d v="2024-10-16T00:00:00"/>
        <d v="2024-10-15T00:00:00"/>
        <d v="2024-10-14T00:00:00"/>
        <d v="2024-10-13T00:00:00"/>
        <d v="2024-10-12T00:00:00"/>
        <d v="2024-10-11T00:00:00"/>
        <d v="2024-10-10T00:00:00"/>
        <d v="2024-10-09T00:00:00"/>
        <d v="2024-10-08T00:00:00"/>
        <d v="2024-10-07T00:00:00"/>
        <d v="2024-10-06T00:00:00"/>
        <d v="2024-10-05T00:00:00"/>
        <d v="2024-10-04T00:00:00"/>
        <d v="2024-10-03T00:00:00"/>
        <d v="2024-10-02T00:00:00"/>
        <d v="2024-10-01T00:00:00"/>
        <d v="2024-09-30T00:00:00"/>
        <d v="2024-09-29T00:00:00"/>
        <d v="2024-09-28T00:00:00"/>
        <d v="2024-09-27T00:00:00"/>
        <d v="2024-09-26T00:00:00"/>
        <d v="2024-09-25T00:00:00"/>
        <d v="2024-09-24T00:00:00"/>
        <d v="2024-09-23T00:00:00"/>
        <d v="2024-09-22T00:00:00"/>
        <d v="2024-09-21T00:00:00"/>
        <d v="2024-09-20T00:00:00"/>
        <d v="2024-09-19T00:00:00"/>
        <d v="2024-09-18T00:00:00"/>
        <d v="2024-09-17T00:00:00"/>
        <d v="2024-09-16T00:00:00"/>
        <d v="2024-09-15T00:00:00"/>
        <d v="2024-09-14T00:00:00"/>
        <d v="2024-09-13T00:00:00"/>
        <d v="2024-09-12T00:00:00"/>
        <d v="2024-09-11T00:00:00"/>
        <d v="2024-09-10T00:00:00"/>
        <d v="2024-09-09T00:00:00"/>
        <d v="2024-09-08T00:00:00"/>
        <d v="2024-09-07T00:00:00"/>
        <d v="2024-09-06T00:00:00"/>
        <d v="2024-09-05T00:00:00"/>
        <d v="2024-09-04T00:00:00"/>
        <d v="2024-09-03T00:00:00"/>
        <d v="2024-09-02T00:00:00"/>
        <d v="2024-09-01T00:00:00"/>
        <d v="2024-08-31T00:00:00"/>
        <d v="2024-08-30T00:00:00"/>
        <d v="2024-08-29T00:00:00"/>
        <d v="2024-08-28T00:00:00"/>
        <d v="2024-08-27T00:00:00"/>
        <d v="2024-08-26T00:00:00"/>
        <d v="2024-08-25T00:00:00"/>
        <d v="2024-08-24T00:00:00"/>
        <d v="2024-08-23T00:00:00"/>
        <d v="2024-08-22T00:00:00"/>
        <d v="2024-08-21T00:00:00"/>
        <d v="2024-08-20T00:00:00"/>
        <d v="2024-08-19T00:00:00"/>
        <d v="2024-08-18T00:00:00"/>
        <d v="2024-08-17T00:00:00"/>
        <d v="2024-08-16T00:00:00"/>
        <d v="2024-08-15T00:00:00"/>
        <d v="2024-08-14T00:00:00"/>
        <d v="2024-08-13T00:00:00"/>
        <d v="2024-08-12T00:00:00"/>
        <d v="2024-08-11T00:00:00"/>
        <d v="2024-08-10T00:00:00"/>
        <d v="2024-08-09T00:00:00"/>
        <d v="2024-08-08T00:00:00"/>
        <d v="2024-08-07T00:00:00"/>
        <d v="2024-08-06T00:00:00"/>
        <d v="2024-08-05T00:00:00"/>
        <d v="2024-08-04T00:00:00"/>
        <d v="2024-08-03T00:00:00"/>
        <d v="2024-08-02T00:00:00"/>
        <d v="2024-08-01T00:00:00"/>
        <d v="2024-07-31T00:00:00"/>
        <d v="2024-07-30T00:00:00"/>
        <d v="2024-07-29T00:00:00"/>
        <d v="2024-07-28T00:00:00"/>
        <d v="2024-07-27T00:00:00"/>
        <d v="2024-07-26T00:00:00"/>
        <d v="2024-07-25T00:00:00"/>
        <d v="2024-07-24T00:00:00"/>
        <d v="2024-07-23T00:00:00"/>
        <d v="2024-07-22T00:00:00"/>
        <d v="2024-07-21T00:00:00"/>
        <d v="2024-07-20T00:00:00"/>
        <d v="2024-07-19T00:00:00"/>
        <d v="2024-07-18T00:00:00"/>
        <d v="2024-07-17T00:00:00"/>
        <d v="2024-07-16T00:00:00"/>
        <d v="2024-07-15T00:00:00"/>
        <d v="2024-07-14T00:00:00"/>
        <d v="2024-07-13T00:00:00"/>
        <d v="2024-07-12T00:00:00"/>
        <d v="2024-07-11T00:00:00"/>
        <d v="2024-07-10T00:00:00"/>
        <d v="2024-07-09T00:00:00"/>
        <d v="2024-07-08T00:00:00"/>
        <d v="2024-07-07T00:00:00"/>
        <d v="2024-07-06T00:00:00"/>
        <d v="2024-07-05T00:00:00"/>
        <d v="2024-07-04T00:00:00"/>
        <d v="2024-07-03T00:00:00"/>
        <d v="2024-07-02T00:00:00"/>
        <d v="2024-07-01T00:00:00"/>
        <d v="2024-06-30T00:00:00"/>
        <d v="2024-06-29T00:00:00"/>
        <d v="2024-06-28T00:00:00"/>
        <d v="2024-06-27T00:00:00"/>
        <d v="2024-06-26T00:00:00"/>
        <d v="2024-06-25T00:00:00"/>
        <d v="2024-06-24T00:00:00"/>
        <d v="2024-06-23T00:00:00"/>
        <d v="2024-06-22T00:00:00"/>
        <d v="2024-06-21T00:00:00"/>
        <d v="2024-06-20T00:00:00"/>
        <d v="2024-06-19T00:00:00"/>
        <d v="2024-06-18T00:00:00"/>
        <d v="2024-06-17T00:00:00"/>
        <d v="2024-06-16T00:00:00"/>
        <d v="2024-06-15T00:00:00"/>
        <d v="2024-06-14T00:00:00"/>
        <d v="2024-06-13T00:00:00"/>
        <d v="2024-06-12T00:00:00"/>
        <d v="2024-06-11T00:00:00"/>
        <d v="2024-06-10T00:00:00"/>
        <d v="2024-06-09T00:00:00"/>
        <d v="2024-06-08T00:00:00"/>
        <d v="2024-06-07T00:00:00"/>
        <d v="2024-06-06T00:00:00"/>
        <d v="2024-06-05T00:00:00"/>
        <d v="2024-06-04T00:00:00"/>
        <d v="2024-06-03T00:00:00"/>
        <d v="2024-06-02T00:00:00"/>
        <d v="2024-06-01T00:00:00"/>
        <d v="2024-05-31T00:00:00"/>
        <d v="2024-05-30T00:00:00"/>
        <d v="2024-05-29T00:00:00"/>
        <d v="2024-05-28T00:00:00"/>
        <d v="2024-05-27T00:00:00"/>
        <d v="2024-05-26T00:00:00"/>
        <d v="2024-05-25T00:00:00"/>
        <d v="2024-05-24T00:00:00"/>
        <d v="2024-05-23T00:00:00"/>
        <d v="2024-05-22T00:00:00"/>
        <d v="2024-05-21T00:00:00"/>
        <d v="2024-05-20T00:00:00"/>
        <d v="2024-05-19T00:00:00"/>
        <d v="2024-05-18T00:00:00"/>
        <d v="2024-05-17T00:00:00"/>
        <d v="2024-05-16T00:00:00"/>
        <d v="2024-05-15T00:00:00"/>
        <d v="2024-05-14T00:00:00"/>
        <d v="2024-05-13T00:00:00"/>
        <d v="2024-05-12T00:00:00"/>
        <d v="2024-05-11T00:00:00"/>
        <d v="2024-05-10T00:00:00"/>
        <d v="2024-05-09T00:00:00"/>
        <d v="2024-05-08T00:00:00"/>
        <d v="2024-05-07T00:00:00"/>
        <d v="2024-05-06T00:00:00"/>
        <d v="2024-05-05T00:00:00"/>
        <d v="2024-05-04T00:00:00"/>
        <d v="2024-05-03T00:00:00"/>
        <d v="2024-05-02T00:00:00"/>
        <d v="2024-05-01T00:00:00"/>
        <d v="2024-04-30T00:00:00"/>
        <d v="2024-04-29T00:00:00"/>
        <d v="2024-04-28T00:00:00"/>
        <d v="2024-04-27T00:00:00"/>
        <d v="2024-04-26T00:00:00"/>
        <d v="2024-04-25T00:00:00"/>
        <d v="2024-04-24T00:00:00"/>
        <d v="2024-04-23T00:00:00"/>
        <d v="2024-04-22T00:00:00"/>
        <d v="2024-04-21T00:00:00"/>
        <d v="2024-04-20T00:00:00"/>
        <d v="2024-04-19T00:00:00"/>
        <d v="2024-04-18T00:00:00"/>
        <d v="2024-04-17T00:00:00"/>
        <d v="2024-04-16T00:00:00"/>
        <d v="2024-04-15T00:00:00"/>
        <d v="2024-04-14T00:00:00"/>
        <d v="2024-04-13T00:00:00"/>
        <d v="2024-04-12T00:00:00"/>
        <d v="2024-04-11T00:00:00"/>
        <d v="2024-04-10T00:00:00"/>
        <d v="2024-04-09T00:00:00"/>
        <d v="2024-04-08T00:00:00"/>
        <d v="2024-04-07T00:00:00"/>
        <d v="2024-04-06T00:00:00"/>
        <d v="2024-04-05T00:00:00"/>
        <d v="2024-04-04T00:00:00"/>
        <d v="2024-04-03T00:00:00"/>
        <d v="2024-04-02T00:00:00"/>
        <d v="2024-04-01T00:00:00"/>
        <d v="2024-03-31T00:00:00"/>
        <d v="2024-03-30T00:00:00"/>
        <d v="2024-03-29T00:00:00"/>
        <d v="2024-03-28T00:00:00"/>
        <d v="2024-03-27T00:00:00"/>
        <d v="2024-03-26T00:00:00"/>
        <d v="2024-03-25T00:00:00"/>
        <d v="2024-03-24T00:00:00"/>
        <d v="2024-03-23T00:00:00"/>
        <d v="2024-03-22T00:00:00"/>
        <d v="2024-03-21T00:00:00"/>
        <d v="2024-03-20T00:00:00"/>
        <d v="2024-03-19T00:00:00"/>
        <d v="2024-03-18T00:00:00"/>
        <d v="2024-03-17T00:00:00"/>
        <d v="2024-03-16T00:00:00"/>
        <d v="2024-03-15T00:00:00"/>
        <d v="2024-03-14T00:00:00"/>
        <d v="2024-03-13T00:00:00"/>
        <d v="2024-03-12T00:00:00"/>
        <d v="2024-03-11T00:00:00"/>
        <d v="2024-03-10T00:00:00"/>
        <d v="2024-03-09T00:00:00"/>
        <d v="2024-03-08T00:00:00"/>
        <d v="2024-03-07T00:00:00"/>
        <d v="2024-03-06T00:00:00"/>
        <d v="2024-03-05T00:00:00"/>
        <d v="2024-03-04T00:00:00"/>
        <d v="2024-03-03T00:00:00"/>
        <d v="2024-03-02T00:00:00"/>
        <d v="2024-03-01T00:00:00"/>
        <d v="2024-02-29T00:00:00"/>
        <d v="2024-02-28T00:00:00"/>
        <d v="2024-02-27T00:00:00"/>
        <d v="2024-02-26T00:00:00"/>
        <d v="2024-02-25T00:00:00"/>
        <d v="2024-02-24T00:00:00"/>
        <d v="2024-02-23T00:00:00"/>
        <d v="2024-02-22T00:00:00"/>
        <d v="2024-02-21T00:00:00"/>
        <d v="2024-02-20T00:00:00"/>
        <d v="2024-02-19T00:00:00"/>
        <d v="2024-02-18T00:00:00"/>
        <d v="2024-02-17T00:00:00"/>
        <d v="2024-02-16T00:00:00"/>
        <d v="2024-02-15T00:00:00"/>
        <d v="2024-02-14T00:00:00"/>
        <d v="2024-02-13T00:00:00"/>
        <d v="2024-02-12T00:00:00"/>
        <d v="2024-02-11T00:00:00"/>
        <d v="2024-02-10T00:00:00"/>
        <d v="2024-02-09T00:00:00"/>
        <d v="2024-02-08T00:00:00"/>
        <d v="2024-02-07T00:00:00"/>
        <d v="2024-02-06T00:00:00"/>
        <d v="2024-02-05T00:00:00"/>
        <d v="2024-02-04T00:00:00"/>
        <d v="2024-02-03T00:00:00"/>
        <d v="2024-02-02T00:00:00"/>
        <d v="2024-02-01T00:00:00"/>
        <d v="2024-01-31T00:00:00"/>
        <d v="2024-01-30T00:00:00"/>
        <d v="2024-01-29T00:00:00"/>
        <d v="2024-01-28T00:00:00"/>
        <d v="2024-01-27T00:00:00"/>
        <d v="2024-01-26T00:00:00"/>
        <d v="2024-01-25T00:00:00"/>
        <d v="2024-01-24T00:00:00"/>
        <d v="2024-01-23T00:00:00"/>
        <d v="2024-01-22T00:00:00"/>
        <d v="2024-01-21T00:00:00"/>
        <d v="2024-01-20T00:00:00"/>
        <d v="2024-01-19T00:00:00"/>
        <d v="2024-01-18T00:00:00"/>
        <d v="2024-01-17T00:00:00"/>
        <d v="2024-01-16T00:00:00"/>
        <d v="2024-01-15T00:00:00"/>
        <d v="2024-01-14T00:00:00"/>
        <d v="2024-01-13T00:00:00"/>
        <d v="2024-01-12T00:00:00"/>
        <d v="2024-01-11T00:00:00"/>
        <d v="2024-01-10T00:00:00"/>
        <d v="2024-01-09T00:00:00"/>
        <d v="2024-01-08T00:00:00"/>
        <d v="2024-01-07T00:00:00"/>
        <d v="2024-01-06T00:00:00"/>
        <d v="2024-01-05T00:00:00"/>
        <d v="2024-01-04T00:00:00"/>
        <d v="2024-01-03T00:00:00"/>
        <d v="2024-01-02T00:00:00"/>
        <d v="2024-01-01T00:00:00"/>
        <d v="2023-12-31T00:00:00"/>
        <d v="2023-12-30T00:00:00"/>
        <d v="2023-12-29T00:00:00"/>
        <d v="2023-12-28T00:00:00"/>
        <d v="2023-12-27T00:00:00"/>
        <d v="2023-12-26T00:00:00"/>
        <d v="2023-12-25T00:00:00"/>
        <d v="2023-12-24T00:00:00"/>
        <d v="2023-12-23T00:00:00"/>
        <d v="2023-12-22T00:00:00"/>
        <d v="2023-12-21T00:00:00"/>
        <d v="2023-12-20T00:00:00"/>
        <d v="2023-12-19T00:00:00"/>
        <d v="2023-12-18T00:00:00"/>
        <d v="2023-12-17T00:00:00"/>
        <d v="2023-12-16T00:00:00"/>
        <d v="2023-12-15T00:00:00"/>
        <d v="2023-12-14T00:00:00"/>
        <d v="2023-12-13T00:00:00"/>
        <d v="2023-12-12T00:00:00"/>
        <d v="2023-12-11T00:00:00"/>
        <d v="2023-12-10T00:00:00"/>
        <d v="2023-12-09T00:00:00"/>
        <d v="2023-12-08T00:00:00"/>
        <d v="2023-12-07T00:00:00"/>
        <d v="2023-12-06T00:00:00"/>
        <d v="2023-12-05T00:00:00"/>
        <d v="2023-12-04T00:00:00"/>
        <d v="2023-12-03T00:00:00"/>
        <d v="2023-12-02T00:00:00"/>
        <d v="2023-12-01T00:00:00"/>
        <d v="2023-11-30T00:00:00"/>
        <d v="2023-11-29T00:00:00"/>
        <d v="2023-11-28T00:00:00"/>
        <d v="2023-11-27T00:00:00"/>
        <d v="2023-11-26T00:00:00"/>
        <d v="2023-11-25T00:00:00"/>
        <d v="2023-11-24T00:00:00"/>
        <d v="2023-11-23T00:00:00"/>
        <d v="2023-11-22T00:00:00"/>
        <d v="2023-11-21T00:00:00"/>
        <d v="2023-11-20T00:00:00"/>
        <d v="2023-11-19T00:00:00"/>
        <d v="2023-11-18T00:00:00"/>
        <d v="2023-11-17T00:00:00"/>
        <d v="2023-11-16T00:00:00"/>
        <d v="2023-11-15T00:00:00"/>
        <d v="2023-11-14T00:00:00"/>
        <d v="2023-11-13T00:00:00"/>
        <d v="2023-11-12T00:00:00"/>
        <d v="2023-11-11T00:00:00"/>
        <d v="2023-11-10T00:00:00"/>
        <d v="2023-11-09T00:00:00"/>
        <d v="2023-11-08T00:00:00"/>
        <d v="2023-11-07T00:00:00"/>
        <d v="2023-11-06T00:00:00"/>
        <d v="2023-11-05T00:00:00"/>
        <d v="2023-11-04T00:00:00"/>
        <d v="2023-11-03T00:00:00"/>
        <d v="2023-11-02T00:00:00"/>
        <d v="2023-11-01T00:00:00"/>
        <d v="2023-10-31T00:00:00"/>
        <d v="2023-10-30T00:00:00"/>
        <d v="2023-10-29T00:00:00"/>
        <d v="2023-10-28T00:00:00"/>
        <d v="2023-10-27T00:00:00"/>
        <d v="2023-10-26T00:00:00"/>
        <d v="2023-10-25T00:00:00"/>
        <d v="2023-10-24T00:00:00"/>
        <d v="2023-10-23T00:00:00"/>
        <d v="2023-10-22T00:00:00"/>
        <d v="2023-10-21T00:00:00"/>
        <d v="2023-10-20T00:00:00"/>
        <d v="2023-10-19T00:00:00"/>
        <d v="2023-10-18T00:00:00"/>
        <d v="2023-10-17T00:00:00"/>
        <d v="2023-10-16T00:00:00"/>
        <d v="2023-10-15T00:00:00"/>
        <d v="2023-10-14T00:00:00"/>
        <d v="2023-10-13T00:00:00"/>
        <d v="2023-10-12T00:00:00"/>
        <d v="2023-10-11T00:00:00"/>
        <d v="2023-10-10T00:00:00"/>
        <d v="2023-10-09T00:00:00"/>
        <d v="2023-10-08T00:00:00"/>
        <d v="2023-10-07T00:00:00"/>
        <d v="2023-10-06T00:00:00"/>
        <d v="2023-10-05T00:00:00"/>
        <d v="2023-10-04T00:00:00"/>
        <d v="2023-10-03T00:00:00"/>
        <d v="2023-10-02T00:00:00"/>
        <d v="2023-10-01T00:00:00"/>
        <d v="2023-09-30T00:00:00"/>
        <d v="2023-09-29T00:00:00"/>
        <d v="2023-09-28T00:00:00"/>
        <d v="2023-09-27T00:00:00"/>
        <d v="2023-09-26T00:00:00"/>
        <d v="2023-09-25T00:00:00"/>
        <d v="2023-09-24T00:00:00"/>
        <d v="2023-09-23T00:00:00"/>
        <d v="2023-09-22T00:00:00"/>
        <d v="2023-09-21T00:00:00"/>
        <d v="2023-09-20T00:00:00"/>
        <d v="2023-09-19T00:00:00"/>
        <d v="2023-09-18T00:00:00"/>
        <d v="2023-09-17T00:00:00"/>
        <d v="2023-09-16T00:00:00"/>
        <d v="2023-09-15T00:00:00"/>
        <d v="2023-09-14T00:00:00"/>
        <d v="2023-09-13T00:00:00"/>
        <d v="2023-09-12T00:00:00"/>
        <d v="2023-09-11T00:00:00"/>
        <d v="2023-09-10T00:00:00"/>
        <d v="2023-09-09T00:00:00"/>
        <d v="2023-09-08T00:00:00"/>
        <d v="2023-09-07T00:00:00"/>
        <d v="2023-09-06T00:00:00"/>
        <d v="2023-09-05T00:00:00"/>
        <d v="2023-09-04T00:00:00"/>
        <d v="2023-09-03T00:00:00"/>
        <d v="2023-09-02T00:00:00"/>
        <d v="2023-09-01T00:00:00"/>
        <d v="2023-08-31T00:00:00"/>
        <d v="2023-08-30T00:00:00"/>
        <d v="2023-08-29T00:00:00"/>
        <d v="2023-08-28T00:00:00"/>
        <d v="2023-08-27T00:00:00"/>
        <d v="2023-08-26T00:00:00"/>
        <d v="2023-08-25T00:00:00"/>
        <d v="2023-08-24T00:00:00"/>
        <d v="2023-08-23T00:00:00"/>
        <d v="2023-08-22T00:00:00"/>
        <d v="2023-08-21T00:00:00"/>
        <d v="2023-08-20T00:00:00"/>
        <d v="2023-08-19T00:00:00"/>
        <d v="2023-08-18T00:00:00"/>
        <d v="2023-08-17T00:00:00"/>
        <d v="2023-08-16T00:00:00"/>
        <d v="2023-08-15T00:00:00"/>
        <d v="2023-08-14T00:00:00"/>
        <d v="2023-08-13T00:00:00"/>
        <d v="2023-08-12T00:00:00"/>
        <d v="2023-08-11T00:00:00"/>
        <d v="2023-08-10T00:00:00"/>
        <d v="2023-08-09T00:00:00"/>
        <d v="2023-08-08T00:00:00"/>
        <d v="2023-08-07T00:00:00"/>
        <d v="2023-08-06T00:00:00"/>
        <d v="2023-08-05T00:00:00"/>
        <d v="2023-08-04T00:00:00"/>
        <d v="2023-08-03T00:00:00"/>
        <d v="2023-08-02T00:00:00"/>
        <d v="2023-08-01T00:00:00"/>
        <d v="2023-07-31T00:00:00"/>
        <d v="2023-07-30T00:00:00"/>
        <d v="2023-07-29T00:00:00"/>
        <d v="2023-07-28T00:00:00"/>
        <d v="2023-07-27T00:00:00"/>
        <d v="2023-07-26T00:00:00"/>
        <d v="2023-07-25T00:00:00"/>
        <d v="2023-07-24T00:00:00"/>
        <d v="2023-07-23T00:00:00"/>
        <d v="2023-07-22T00:00:00"/>
        <d v="2023-07-21T00:00:00"/>
        <d v="2023-07-20T00:00:00"/>
        <d v="2023-07-19T00:00:00"/>
        <d v="2023-07-18T00:00:00"/>
        <d v="2023-07-17T00:00:00"/>
        <d v="2023-07-16T00:00:00"/>
        <d v="2023-07-15T00:00:00"/>
        <d v="2023-07-14T00:00:00"/>
        <d v="2023-07-13T00:00:00"/>
        <d v="2023-07-12T00:00:00"/>
        <d v="2023-07-11T00:00:00"/>
        <d v="2023-07-10T00:00:00"/>
        <d v="2023-07-09T00:00:00"/>
        <d v="2023-07-08T00:00:00"/>
        <d v="2023-07-07T00:00:00"/>
        <d v="2023-07-06T00:00:00"/>
        <d v="2023-07-05T00:00:00"/>
        <d v="2023-07-04T00:00:00"/>
        <d v="2023-07-03T00:00:00"/>
        <d v="2023-07-02T00:00:00"/>
        <d v="2023-07-01T00:00:00"/>
        <d v="2023-06-30T00:00:00"/>
        <d v="2023-06-29T00:00:00"/>
        <d v="2023-06-28T00:00:00"/>
        <d v="2023-06-27T00:00:00"/>
        <d v="2023-06-26T00:00:00"/>
        <d v="2023-06-25T00:00:00"/>
        <d v="2023-06-24T00:00:00"/>
        <d v="2023-06-23T00:00:00"/>
        <d v="2023-06-22T00:00:00"/>
        <d v="2023-06-21T00:00:00"/>
        <d v="2023-06-20T00:00:00"/>
        <d v="2023-06-19T00:00:00"/>
        <d v="2023-06-18T00:00:00"/>
        <d v="2023-06-17T00:00:00"/>
        <d v="2023-06-16T00:00:00"/>
        <d v="2023-06-15T00:00:00"/>
        <d v="2023-06-14T00:00:00"/>
        <d v="2023-06-13T00:00:00"/>
        <d v="2023-06-12T00:00:00"/>
        <d v="2023-06-11T00:00:00"/>
        <d v="2023-06-10T00:00:00"/>
        <d v="2023-06-09T00:00:00"/>
        <d v="2023-06-08T00:00:00"/>
        <d v="2023-06-07T00:00:00"/>
        <d v="2023-06-06T00:00:00"/>
        <d v="2023-06-05T00:00:00"/>
        <d v="2023-06-04T00:00:00"/>
        <d v="2023-06-03T00:00:00"/>
        <d v="2023-06-02T00:00:00"/>
        <d v="2023-06-01T00:00:00"/>
        <d v="2023-05-31T00:00:00"/>
        <d v="2023-05-30T00:00:00"/>
        <d v="2023-05-29T00:00:00"/>
        <d v="2023-05-28T00:00:00"/>
        <d v="2023-05-27T00:00:00"/>
        <d v="2023-05-26T00:00:00"/>
        <d v="2023-05-25T00:00:00"/>
        <d v="2023-05-24T00:00:00"/>
        <d v="2023-05-23T00:00:00"/>
        <d v="2023-05-22T00:00:00"/>
        <d v="2023-05-21T00:00:00"/>
        <d v="2023-05-20T00:00:00"/>
        <d v="2023-05-19T00:00:00"/>
        <d v="2023-05-18T00:00:00"/>
        <d v="2023-05-17T00:00:00"/>
        <d v="2023-05-16T00:00:00"/>
        <d v="2023-05-15T00:00:00"/>
        <d v="2023-05-14T00:00:00"/>
        <d v="2023-05-13T00:00:00"/>
        <d v="2023-05-12T00:00:00"/>
        <d v="2023-05-11T00:00:00"/>
        <d v="2023-05-10T00:00:00"/>
        <d v="2023-05-09T00:00:00"/>
        <d v="2023-05-08T00:00:00"/>
        <d v="2023-05-07T00:00:00"/>
        <d v="2023-05-06T00:00:00"/>
        <d v="2023-05-05T00:00:00"/>
        <d v="2023-05-04T00:00:00"/>
        <d v="2023-05-03T00:00:00"/>
        <d v="2023-05-02T00:00:00"/>
        <d v="2023-05-01T00:00:00"/>
        <d v="2023-04-30T00:00:00"/>
        <d v="2023-04-29T00:00:00"/>
        <d v="2023-04-28T00:00:00"/>
        <d v="2023-04-27T00:00:00"/>
        <d v="2023-04-26T00:00:00"/>
        <d v="2023-04-25T00:00:00"/>
        <d v="2023-04-24T00:00:00"/>
        <d v="2023-04-23T00:00:00"/>
        <d v="2023-04-22T00:00:00"/>
        <d v="2023-04-21T00:00:00"/>
        <d v="2023-04-20T00:00:00"/>
        <d v="2023-04-19T00:00:00"/>
        <d v="2023-04-18T00:00:00"/>
        <d v="2023-04-17T00:00:00"/>
        <d v="2023-04-16T00:00:00"/>
        <d v="2023-04-15T00:00:00"/>
        <d v="2023-04-14T00:00:00"/>
        <d v="2023-04-13T00:00:00"/>
        <d v="2023-04-12T00:00:00"/>
        <d v="2023-04-11T00:00:00"/>
        <d v="2023-04-10T00:00:00"/>
        <d v="2023-04-09T00:00:00"/>
        <d v="2023-04-08T00:00:00"/>
        <d v="2023-04-07T00:00:00"/>
        <d v="2023-04-06T00:00:00"/>
        <d v="2023-04-05T00:00:00"/>
        <d v="2023-04-04T00:00:00"/>
        <d v="2023-04-03T00:00:00"/>
        <d v="2023-04-02T00:00:00"/>
        <d v="2023-04-01T00:00:00"/>
        <d v="2023-03-31T00:00:00"/>
        <d v="2023-03-30T00:00:00"/>
        <d v="2023-03-29T00:00:00"/>
        <d v="2023-03-28T00:00:00"/>
        <d v="2023-03-27T00:00:00"/>
        <d v="2023-03-26T00:00:00"/>
        <d v="2023-03-25T00:00:00"/>
        <d v="2023-03-24T00:00:00"/>
        <d v="2023-03-23T00:00:00"/>
        <d v="2023-03-22T00:00:00"/>
        <d v="2023-03-21T00:00:00"/>
        <d v="2023-03-20T00:00:00"/>
        <d v="2023-03-19T00:00:00"/>
        <d v="2023-03-18T00:00:00"/>
        <d v="2023-03-17T00:00:00"/>
        <d v="2023-03-16T00:00:00"/>
        <d v="2023-03-15T00:00:00"/>
        <d v="2023-03-14T00:00:00"/>
        <d v="2023-03-13T00:00:00"/>
        <d v="2023-03-12T00:00:00"/>
        <d v="2023-03-11T00:00:00"/>
        <d v="2023-03-10T00:00:00"/>
        <d v="2023-03-09T00:00:00"/>
        <d v="2023-03-08T00:00:00"/>
        <d v="2023-03-07T00:00:00"/>
        <d v="2023-03-06T00:00:00"/>
        <d v="2023-03-05T00:00:00"/>
        <d v="2023-03-04T00:00:00"/>
        <d v="2023-03-03T00:00:00"/>
        <d v="2023-03-02T00:00:00"/>
        <d v="2023-03-01T00:00:00"/>
        <d v="2023-02-28T00:00:00"/>
        <d v="2023-02-27T00:00:00"/>
        <d v="2023-02-26T00:00:00"/>
        <d v="2023-02-25T00:00:00"/>
        <d v="2023-02-24T00:00:00"/>
        <d v="2023-02-23T00:00:00"/>
        <d v="2023-02-22T00:00:00"/>
        <d v="2023-02-21T00:00:00"/>
        <d v="2023-02-20T00:00:00"/>
        <d v="2023-02-19T00:00:00"/>
        <d v="2023-02-18T00:00:00"/>
        <d v="2023-02-17T00:00:00"/>
        <d v="2023-02-16T00:00:00"/>
        <d v="2023-02-15T00:00:00"/>
        <d v="2023-02-14T00:00:00"/>
        <d v="2023-02-13T00:00:00"/>
        <d v="2023-02-12T00:00:00"/>
        <d v="2023-02-11T00:00:00"/>
        <d v="2023-02-10T00:00:00"/>
        <d v="2023-02-09T00:00:00"/>
        <d v="2023-02-08T00:00:00"/>
        <d v="2023-02-07T00:00:00"/>
        <d v="2023-02-06T00:00:00"/>
        <d v="2023-02-05T00:00:00"/>
        <d v="2023-02-04T00:00:00"/>
        <d v="2023-02-03T00:00:00"/>
        <d v="2023-02-02T00:00:00"/>
        <d v="2023-02-01T00:00:00"/>
        <d v="2023-01-31T00:00:00"/>
        <d v="2023-01-30T00:00:00"/>
        <d v="2023-01-29T00:00:00"/>
        <d v="2023-01-28T00:00:00"/>
        <d v="2023-01-27T00:00:00"/>
        <d v="2023-01-26T00:00:00"/>
        <d v="2023-01-25T00:00:00"/>
        <d v="2023-01-24T00:00:00"/>
        <d v="2023-01-23T00:00:00"/>
        <d v="2023-01-22T00:00:00"/>
        <d v="2023-01-21T00:00:00"/>
        <d v="2023-01-20T00:00:00"/>
        <d v="2023-01-19T00:00:00"/>
        <d v="2023-01-18T00:00:00"/>
        <d v="2023-01-17T00:00:00"/>
        <d v="2023-01-16T00:00:00"/>
        <d v="2023-01-15T00:00:00"/>
        <d v="2023-01-14T00:00:00"/>
        <d v="2023-01-13T00:00:00"/>
        <d v="2023-01-12T00:00:00"/>
        <d v="2023-01-11T00:00:00"/>
        <d v="2023-01-10T00:00:00"/>
        <d v="2023-01-09T00:00:00"/>
        <d v="2023-01-08T00:00:00"/>
        <d v="2023-01-07T00:00:00"/>
        <d v="2023-01-06T00:00:00"/>
        <d v="2023-01-05T00:00:00"/>
        <d v="2023-01-04T00:00:00"/>
        <d v="2023-01-03T00:00:00"/>
        <d v="2023-01-02T00:00:00"/>
        <d v="2023-01-01T00:00:00"/>
      </sharedItems>
      <fieldGroup par="23"/>
    </cacheField>
    <cacheField name="Region" numFmtId="0">
      <sharedItems/>
    </cacheField>
    <cacheField name="Category" numFmtId="0">
      <sharedItems count="4">
        <s v="Accessories"/>
        <s v="Furniture"/>
        <s v="Electronics"/>
        <s v="Clothing"/>
      </sharedItems>
    </cacheField>
    <cacheField name="Supplier" numFmtId="0">
      <sharedItems/>
    </cacheField>
    <cacheField name="Warehouse" numFmtId="0">
      <sharedItems count="3">
        <s v="Warehouse 1"/>
        <s v="Warehouse 2"/>
        <s v="Warehouse 3"/>
      </sharedItems>
    </cacheField>
    <cacheField name="Order Status" numFmtId="0">
      <sharedItems count="3">
        <s v="Fulfilled"/>
        <s v="Canceled"/>
        <s v="Pending"/>
      </sharedItems>
    </cacheField>
    <cacheField name="Units Sold" numFmtId="0">
      <sharedItems containsSemiMixedTypes="0" containsString="0" containsNumber="1" containsInteger="1" minValue="50" maxValue="999"/>
    </cacheField>
    <cacheField name="Inventory Level" numFmtId="0">
      <sharedItems containsSemiMixedTypes="0" containsString="0" containsNumber="1" containsInteger="1" minValue="101" maxValue="4999"/>
    </cacheField>
    <cacheField name="Transportation Cost" numFmtId="0">
      <sharedItems containsSemiMixedTypes="0" containsString="0" containsNumber="1" minValue="509.09899109999998" maxValue="14997.814050000001"/>
    </cacheField>
    <cacheField name="Order Accuracy" numFmtId="0">
      <sharedItems/>
    </cacheField>
    <cacheField name="Lead Time (Days)" numFmtId="0">
      <sharedItems containsSemiMixedTypes="0" containsString="0" containsNumber="1" containsInteger="1" minValue="1" maxValue="29"/>
    </cacheField>
    <cacheField name="Backorder" numFmtId="0">
      <sharedItems/>
    </cacheField>
    <cacheField name="Cost of Goods Sold (COGS)" numFmtId="0">
      <sharedItems containsSemiMixedTypes="0" containsString="0" containsNumber="1" minValue="1415.6135409999999" maxValue="190841.49540000001"/>
    </cacheField>
    <cacheField name="Average Inventory" numFmtId="0">
      <sharedItems containsSemiMixedTypes="0" containsString="0" containsNumber="1" minValue="235" maxValue="4863.5"/>
    </cacheField>
    <cacheField name="Warehouse Capacity" numFmtId="0">
      <sharedItems containsSemiMixedTypes="0" containsString="0" containsNumber="1" containsInteger="1" minValue="5002" maxValue="9995"/>
    </cacheField>
    <cacheField name="inventory_status" numFmtId="0">
      <sharedItems/>
    </cacheField>
    <cacheField name="inventory_turnover" numFmtId="0">
      <sharedItems containsSemiMixedTypes="0" containsString="0" containsNumber="1" minValue="1.3496307613954673E-2" maxValue="3.3143812709030098"/>
    </cacheField>
    <cacheField name="lead_time_category" numFmtId="0">
      <sharedItems/>
    </cacheField>
    <cacheField name="cost_per_unit" numFmtId="0">
      <sharedItems containsSemiMixedTypes="0" containsString="0" containsNumber="1" minValue="0.58344035732349853" maxValue="275.58943962264152"/>
    </cacheField>
    <cacheField name="warehouse_utilization" numFmtId="0">
      <sharedItems containsSemiMixedTypes="0" containsString="0" containsNumber="1" minValue="2.598407784166298E-2" maxValue="0.93022117831278139"/>
    </cacheField>
    <cacheField name="warehouse_risk" numFmtId="0">
      <sharedItems/>
    </cacheField>
    <cacheField name="backorder_flag" numFmtId="0">
      <sharedItems containsSemiMixedTypes="0" containsString="0" containsNumber="1" containsInteger="1" minValue="0" maxValue="1"/>
    </cacheField>
    <cacheField name="Months (Date)" numFmtId="0" databaseField="0">
      <fieldGroup base="0">
        <rangePr groupBy="months" startDate="2020-01-14T00:00:00" endDate="2025-01-01T00:00:00"/>
        <groupItems count="14">
          <s v="&lt;14-01-2020"/>
          <s v="Jan"/>
          <s v="Feb"/>
          <s v="Mar"/>
          <s v="Apr"/>
          <s v="May"/>
          <s v="Jun"/>
          <s v="Jul"/>
          <s v="Aug"/>
          <s v="Sep"/>
          <s v="Oct"/>
          <s v="Nov"/>
          <s v="Dec"/>
          <s v="&gt;01-01-2025"/>
        </groupItems>
      </fieldGroup>
    </cacheField>
    <cacheField name="Years (Date)" numFmtId="0" databaseField="0">
      <fieldGroup base="0">
        <rangePr groupBy="years" startDate="2020-01-14T00:00:00" endDate="2025-01-01T00:00:00"/>
        <groupItems count="8">
          <s v="&lt;14-01-2020"/>
          <s v="2020"/>
          <s v="2021"/>
          <s v="2022"/>
          <s v="2023"/>
          <s v="2024"/>
          <s v="2025"/>
          <s v="&gt;01-01-2025"/>
        </groupItems>
      </fieldGroup>
    </cacheField>
  </cacheFields>
  <extLst>
    <ext xmlns:x14="http://schemas.microsoft.com/office/spreadsheetml/2009/9/main" uri="{725AE2AE-9491-48be-B2B4-4EB974FC3084}">
      <x14:pivotCacheDefinition pivotCacheId="19967664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s v="North"/>
    <x v="0"/>
    <s v="Supplier A"/>
    <x v="0"/>
    <x v="0"/>
    <n v="302"/>
    <n v="2124"/>
    <n v="1103.8383240000001"/>
    <b v="1"/>
    <n v="9"/>
    <b v="0"/>
    <n v="37820.0524"/>
    <n v="2048"/>
    <n v="5037"/>
    <s v="Overstock"/>
    <n v="0.1474609375"/>
    <s v="Medium"/>
    <n v="3.6550937880794705"/>
    <n v="0.40659122493547745"/>
    <s v="Optimal"/>
    <n v="0"/>
  </r>
  <r>
    <x v="1"/>
    <s v="East"/>
    <x v="1"/>
    <s v="Supplier D"/>
    <x v="1"/>
    <x v="0"/>
    <n v="741"/>
    <n v="1972"/>
    <n v="13163.007659999999"/>
    <b v="1"/>
    <n v="11"/>
    <b v="0"/>
    <n v="54396.173690000003"/>
    <n v="1213"/>
    <n v="9216"/>
    <s v="Overstock"/>
    <n v="0.61088211046990937"/>
    <s v="Medium"/>
    <n v="17.763842995951418"/>
    <n v="0.1316189236111111"/>
    <s v="Under Utilized"/>
    <n v="0"/>
  </r>
  <r>
    <x v="2"/>
    <s v="East"/>
    <x v="1"/>
    <s v="Supplier C"/>
    <x v="1"/>
    <x v="0"/>
    <n v="940"/>
    <n v="454"/>
    <n v="9872.2941260000007"/>
    <b v="1"/>
    <n v="17"/>
    <b v="0"/>
    <n v="24217.45462"/>
    <n v="1160.5"/>
    <n v="7699"/>
    <s v="Understock"/>
    <n v="0.80999569151227924"/>
    <s v="Slow"/>
    <n v="10.502440559574469"/>
    <n v="0.15073386154045981"/>
    <s v="Under Utilized"/>
    <n v="0"/>
  </r>
  <r>
    <x v="3"/>
    <s v="South"/>
    <x v="0"/>
    <s v="Supplier D"/>
    <x v="1"/>
    <x v="1"/>
    <n v="589"/>
    <n v="1867"/>
    <n v="4547.5899319999999"/>
    <b v="1"/>
    <n v="3"/>
    <b v="0"/>
    <n v="38919.080049999997"/>
    <n v="3364.5"/>
    <n v="9271"/>
    <s v="Understock"/>
    <n v="0.17506315945905782"/>
    <s v="Fast"/>
    <n v="7.720865758913412"/>
    <n v="0.36290583540071192"/>
    <s v="Under Utilized"/>
    <n v="0"/>
  </r>
  <r>
    <x v="4"/>
    <s v="North"/>
    <x v="0"/>
    <s v="Supplier C"/>
    <x v="1"/>
    <x v="0"/>
    <n v="964"/>
    <n v="4862"/>
    <n v="11994.042310000001"/>
    <b v="1"/>
    <n v="21"/>
    <b v="0"/>
    <n v="59204.506829999998"/>
    <n v="3063"/>
    <n v="5828"/>
    <s v="Overstock"/>
    <n v="0.31472412667319621"/>
    <s v="Slow"/>
    <n v="12.441952603734441"/>
    <n v="0.52556623198352781"/>
    <s v="Optimal"/>
    <n v="0"/>
  </r>
  <r>
    <x v="5"/>
    <s v="South"/>
    <x v="2"/>
    <s v="Supplier A"/>
    <x v="0"/>
    <x v="1"/>
    <n v="338"/>
    <n v="1264"/>
    <n v="6220.9913749999996"/>
    <b v="0"/>
    <n v="15"/>
    <b v="0"/>
    <n v="55736.887439999999"/>
    <n v="1104.5"/>
    <n v="8292"/>
    <s v="Overstock"/>
    <n v="0.30602082390221819"/>
    <s v="Slow"/>
    <n v="18.4052999260355"/>
    <n v="0.13320067534973468"/>
    <s v="Under Utilized"/>
    <n v="0"/>
  </r>
  <r>
    <x v="6"/>
    <s v="West"/>
    <x v="1"/>
    <s v="Supplier A"/>
    <x v="1"/>
    <x v="2"/>
    <n v="748"/>
    <n v="945"/>
    <n v="14023.27556"/>
    <b v="1"/>
    <n v="7"/>
    <b v="0"/>
    <n v="139260.8377"/>
    <n v="929"/>
    <n v="5073"/>
    <s v="Overstock"/>
    <n v="0.80516684607104416"/>
    <s v="Fast"/>
    <n v="18.747694598930483"/>
    <n v="0.18312635521387738"/>
    <s v="Under Utilized"/>
    <n v="0"/>
  </r>
  <r>
    <x v="7"/>
    <s v="North"/>
    <x v="0"/>
    <s v="Supplier C"/>
    <x v="0"/>
    <x v="1"/>
    <n v="909"/>
    <n v="913"/>
    <n v="1556.2568140000001"/>
    <b v="1"/>
    <n v="25"/>
    <b v="0"/>
    <n v="35640.521769999999"/>
    <n v="2204"/>
    <n v="9860"/>
    <s v="Understock"/>
    <n v="0.41243194192377497"/>
    <s v="Slow"/>
    <n v="1.7120537007700771"/>
    <n v="0.22352941176470589"/>
    <s v="Under Utilized"/>
    <n v="0"/>
  </r>
  <r>
    <x v="8"/>
    <s v="East"/>
    <x v="3"/>
    <s v="Supplier C"/>
    <x v="2"/>
    <x v="0"/>
    <n v="781"/>
    <n v="3495"/>
    <n v="4933.4638489999998"/>
    <b v="1"/>
    <n v="8"/>
    <b v="0"/>
    <n v="73883.090710000004"/>
    <n v="3481"/>
    <n v="8375"/>
    <s v="Overstock"/>
    <n v="0.22436081585751222"/>
    <s v="Medium"/>
    <n v="6.3168551203585146"/>
    <n v="0.41564179104477611"/>
    <s v="Optimal"/>
    <n v="0"/>
  </r>
  <r>
    <x v="9"/>
    <s v="East"/>
    <x v="3"/>
    <s v="Supplier A"/>
    <x v="0"/>
    <x v="0"/>
    <n v="488"/>
    <n v="3467"/>
    <n v="12041.4938"/>
    <b v="1"/>
    <n v="21"/>
    <b v="0"/>
    <n v="52012.689619999997"/>
    <n v="4067.5"/>
    <n v="8594"/>
    <s v="Understock"/>
    <n v="0.11997541487400123"/>
    <s v="Slow"/>
    <n v="24.675192213114755"/>
    <n v="0.47329532231789623"/>
    <s v="Optimal"/>
    <n v="0"/>
  </r>
  <r>
    <x v="10"/>
    <s v="West"/>
    <x v="3"/>
    <s v="Supplier D"/>
    <x v="2"/>
    <x v="0"/>
    <n v="125"/>
    <n v="4668"/>
    <n v="6126.8478770000002"/>
    <b v="1"/>
    <n v="21"/>
    <b v="0"/>
    <n v="2726.6573950000002"/>
    <n v="3947.5"/>
    <n v="7684"/>
    <s v="Overstock"/>
    <n v="3.1665611146295125E-2"/>
    <s v="Slow"/>
    <n v="49.014783016000003"/>
    <n v="0.51372982821447166"/>
    <s v="Optimal"/>
    <n v="0"/>
  </r>
  <r>
    <x v="11"/>
    <s v="East"/>
    <x v="1"/>
    <s v="Supplier A"/>
    <x v="0"/>
    <x v="0"/>
    <n v="899"/>
    <n v="3227"/>
    <n v="12221.18843"/>
    <b v="1"/>
    <n v="4"/>
    <b v="0"/>
    <n v="127779.9529"/>
    <n v="2414.5"/>
    <n v="9035"/>
    <s v="Overstock"/>
    <n v="0.37233381652516051"/>
    <s v="Fast"/>
    <n v="13.594202925472748"/>
    <n v="0.26723851687880462"/>
    <s v="Under Utilized"/>
    <n v="0"/>
  </r>
  <r>
    <x v="12"/>
    <s v="North"/>
    <x v="0"/>
    <s v="Supplier D"/>
    <x v="0"/>
    <x v="0"/>
    <n v="324"/>
    <n v="1602"/>
    <n v="5705.5111370000004"/>
    <b v="1"/>
    <n v="27"/>
    <b v="0"/>
    <n v="63107.389810000001"/>
    <n v="1005.5"/>
    <n v="8116"/>
    <s v="Overstock"/>
    <n v="0.32222774738935855"/>
    <s v="Slow"/>
    <n v="17.609602274691358"/>
    <n v="0.12389107934943322"/>
    <s v="Under Utilized"/>
    <n v="0"/>
  </r>
  <r>
    <x v="13"/>
    <s v="West"/>
    <x v="3"/>
    <s v="Supplier A"/>
    <x v="2"/>
    <x v="0"/>
    <n v="551"/>
    <n v="409"/>
    <n v="8615.9028209999997"/>
    <b v="1"/>
    <n v="9"/>
    <b v="0"/>
    <n v="57150.958559999999"/>
    <n v="598"/>
    <n v="6886"/>
    <s v="Understock"/>
    <n v="0.92140468227424754"/>
    <s v="Medium"/>
    <n v="15.636847225045372"/>
    <n v="8.6842869590473423E-2"/>
    <s v="Under Utilized"/>
    <n v="0"/>
  </r>
  <r>
    <x v="14"/>
    <s v="West"/>
    <x v="3"/>
    <s v="Supplier C"/>
    <x v="2"/>
    <x v="0"/>
    <n v="489"/>
    <n v="787"/>
    <n v="11076.524009999999"/>
    <b v="1"/>
    <n v="8"/>
    <b v="0"/>
    <n v="66378.002519999995"/>
    <n v="1039"/>
    <n v="9727"/>
    <s v="Understock"/>
    <n v="0.47064485081809432"/>
    <s v="Medium"/>
    <n v="22.651378343558282"/>
    <n v="0.10681607895548473"/>
    <s v="Under Utilized"/>
    <n v="0"/>
  </r>
  <r>
    <x v="15"/>
    <s v="West"/>
    <x v="2"/>
    <s v="Supplier A"/>
    <x v="1"/>
    <x v="2"/>
    <n v="712"/>
    <n v="1291"/>
    <n v="1450.896553"/>
    <b v="1"/>
    <n v="16"/>
    <b v="1"/>
    <n v="24683.75549"/>
    <n v="1881"/>
    <n v="5119"/>
    <s v="Understock"/>
    <n v="0.37852206273258904"/>
    <s v="Slow"/>
    <n v="2.0377760575842698"/>
    <n v="0.36745458097284628"/>
    <s v="Under Utilized"/>
    <n v="1"/>
  </r>
  <r>
    <x v="16"/>
    <s v="West"/>
    <x v="3"/>
    <s v="Supplier D"/>
    <x v="1"/>
    <x v="0"/>
    <n v="775"/>
    <n v="2471"/>
    <n v="2671.7684089999998"/>
    <b v="1"/>
    <n v="10"/>
    <b v="0"/>
    <n v="23900.740839999999"/>
    <n v="3462.5"/>
    <n v="8953"/>
    <s v="Understock"/>
    <n v="0.22382671480144403"/>
    <s v="Medium"/>
    <n v="3.4474431083870964"/>
    <n v="0.38674187423210099"/>
    <s v="Under Utilized"/>
    <n v="0"/>
  </r>
  <r>
    <x v="17"/>
    <s v="West"/>
    <x v="3"/>
    <s v="Supplier D"/>
    <x v="1"/>
    <x v="0"/>
    <n v="936"/>
    <n v="4454"/>
    <n v="8057.0190110000003"/>
    <b v="1"/>
    <n v="26"/>
    <b v="1"/>
    <n v="108960.37850000001"/>
    <n v="2754"/>
    <n v="7941"/>
    <s v="Overstock"/>
    <n v="0.33986928104575165"/>
    <s v="Slow"/>
    <n v="8.6079262938034198"/>
    <n v="0.34680770683792972"/>
    <s v="Under Utilized"/>
    <n v="1"/>
  </r>
  <r>
    <x v="18"/>
    <s v="West"/>
    <x v="2"/>
    <s v="Supplier A"/>
    <x v="1"/>
    <x v="0"/>
    <n v="988"/>
    <n v="1054"/>
    <n v="8990.6387560000003"/>
    <b v="1"/>
    <n v="7"/>
    <b v="0"/>
    <n v="130014.80530000001"/>
    <n v="652.5"/>
    <n v="8128"/>
    <s v="Overstock"/>
    <n v="1.5141762452107279"/>
    <s v="Fast"/>
    <n v="9.0998367975708501"/>
    <n v="8.0278051181102358E-2"/>
    <s v="Under Utilized"/>
    <n v="0"/>
  </r>
  <r>
    <x v="19"/>
    <s v="South"/>
    <x v="3"/>
    <s v="Supplier C"/>
    <x v="2"/>
    <x v="1"/>
    <n v="612"/>
    <n v="251"/>
    <n v="6719.3249130000004"/>
    <b v="1"/>
    <n v="6"/>
    <b v="0"/>
    <n v="40211.047780000001"/>
    <n v="1969"/>
    <n v="9397"/>
    <s v="Understock"/>
    <n v="0.31081767394616555"/>
    <s v="Fast"/>
    <n v="10.979289073529412"/>
    <n v="0.20953495796530808"/>
    <s v="Under Utilized"/>
    <n v="0"/>
  </r>
  <r>
    <x v="20"/>
    <s v="East"/>
    <x v="0"/>
    <s v="Supplier A"/>
    <x v="2"/>
    <x v="0"/>
    <n v="754"/>
    <n v="3687"/>
    <n v="6426.7845610000004"/>
    <b v="1"/>
    <n v="5"/>
    <b v="0"/>
    <n v="54971.192779999998"/>
    <n v="3672"/>
    <n v="8356"/>
    <s v="Overstock"/>
    <n v="0.20533769063180829"/>
    <s v="Fast"/>
    <n v="8.523586950928383"/>
    <n v="0.43944471038774535"/>
    <s v="Optimal"/>
    <n v="0"/>
  </r>
  <r>
    <x v="21"/>
    <s v="East"/>
    <x v="2"/>
    <s v="Supplier D"/>
    <x v="1"/>
    <x v="0"/>
    <n v="282"/>
    <n v="3657"/>
    <n v="6851.3160470000003"/>
    <b v="1"/>
    <n v="21"/>
    <b v="0"/>
    <n v="46598.210899999998"/>
    <n v="3170"/>
    <n v="6195"/>
    <s v="Overstock"/>
    <n v="8.8958990536277607E-2"/>
    <s v="Slow"/>
    <n v="24.295446975177306"/>
    <n v="0.51170298627925748"/>
    <s v="Optimal"/>
    <n v="0"/>
  </r>
  <r>
    <x v="22"/>
    <s v="West"/>
    <x v="0"/>
    <s v="Supplier C"/>
    <x v="2"/>
    <x v="0"/>
    <n v="777"/>
    <n v="2683"/>
    <n v="3371.0439390000001"/>
    <b v="1"/>
    <n v="23"/>
    <b v="0"/>
    <n v="76184.13983"/>
    <n v="3577.5"/>
    <n v="9094"/>
    <s v="Understock"/>
    <n v="0.21719077568134171"/>
    <s v="Slow"/>
    <n v="4.3385378880308885"/>
    <n v="0.39339124697602817"/>
    <s v="Under Utilized"/>
    <n v="0"/>
  </r>
  <r>
    <x v="23"/>
    <s v="East"/>
    <x v="1"/>
    <s v="Supplier D"/>
    <x v="2"/>
    <x v="0"/>
    <n v="477"/>
    <n v="4472"/>
    <n v="6748.6493799999998"/>
    <b v="1"/>
    <n v="12"/>
    <b v="0"/>
    <n v="24996.34935"/>
    <n v="3671"/>
    <n v="6178"/>
    <s v="Overstock"/>
    <n v="0.12993734677199673"/>
    <s v="Medium"/>
    <n v="14.148111907756814"/>
    <n v="0.59420524441566847"/>
    <s v="Optimal"/>
    <n v="0"/>
  </r>
  <r>
    <x v="24"/>
    <s v="East"/>
    <x v="0"/>
    <s v="Supplier A"/>
    <x v="0"/>
    <x v="2"/>
    <n v="606"/>
    <n v="2870"/>
    <n v="13437.449780000001"/>
    <b v="0"/>
    <n v="19"/>
    <b v="0"/>
    <n v="28876.71182"/>
    <n v="3891"/>
    <n v="8399"/>
    <s v="Understock"/>
    <n v="0.15574402467232074"/>
    <s v="Slow"/>
    <n v="22.174009537953797"/>
    <n v="0.46326943683771876"/>
    <s v="Optimal"/>
    <n v="0"/>
  </r>
  <r>
    <x v="25"/>
    <s v="North"/>
    <x v="3"/>
    <s v="Supplier C"/>
    <x v="2"/>
    <x v="2"/>
    <n v="423"/>
    <n v="4912"/>
    <n v="3248.5548739999999"/>
    <b v="1"/>
    <n v="13"/>
    <b v="0"/>
    <n v="79226.47623"/>
    <n v="4494"/>
    <n v="5993"/>
    <s v="Overstock"/>
    <n v="9.4125500667556747E-2"/>
    <s v="Medium"/>
    <n v="7.6797987565011816"/>
    <n v="0.74987485399632903"/>
    <s v="Optimal"/>
    <n v="0"/>
  </r>
  <r>
    <x v="26"/>
    <s v="East"/>
    <x v="0"/>
    <s v="Supplier A"/>
    <x v="1"/>
    <x v="0"/>
    <n v="63"/>
    <n v="4076"/>
    <n v="11003.60216"/>
    <b v="1"/>
    <n v="5"/>
    <b v="0"/>
    <n v="8603.6205769999997"/>
    <n v="3084.5"/>
    <n v="6145"/>
    <s v="Overstock"/>
    <n v="2.0424704165991247E-2"/>
    <s v="Fast"/>
    <n v="174.66035174603175"/>
    <n v="0.50195280716029289"/>
    <s v="Optimal"/>
    <n v="0"/>
  </r>
  <r>
    <x v="27"/>
    <s v="East"/>
    <x v="0"/>
    <s v="Supplier D"/>
    <x v="1"/>
    <x v="0"/>
    <n v="799"/>
    <n v="2093"/>
    <n v="4314.6604340000004"/>
    <b v="1"/>
    <n v="15"/>
    <b v="0"/>
    <n v="39045.022499999999"/>
    <n v="1258.5"/>
    <n v="5460"/>
    <s v="Overstock"/>
    <n v="0.6348827969805324"/>
    <s v="Slow"/>
    <n v="5.4000756370463083"/>
    <n v="0.23049450549450551"/>
    <s v="Under Utilized"/>
    <n v="0"/>
  </r>
  <r>
    <x v="28"/>
    <s v="East"/>
    <x v="0"/>
    <s v="Supplier B"/>
    <x v="2"/>
    <x v="0"/>
    <n v="587"/>
    <n v="424"/>
    <n v="7714.1750819999997"/>
    <b v="1"/>
    <n v="20"/>
    <b v="0"/>
    <n v="43435.243139999999"/>
    <n v="1866.5"/>
    <n v="9462"/>
    <s v="Understock"/>
    <n v="0.31449236538976694"/>
    <s v="Slow"/>
    <n v="13.141695199318569"/>
    <n v="0.19726273515113085"/>
    <s v="Under Utilized"/>
    <n v="0"/>
  </r>
  <r>
    <x v="29"/>
    <s v="West"/>
    <x v="0"/>
    <s v="Supplier C"/>
    <x v="0"/>
    <x v="2"/>
    <n v="358"/>
    <n v="3309"/>
    <n v="1812.1965110000001"/>
    <b v="1"/>
    <n v="3"/>
    <b v="0"/>
    <n v="39042.156519999997"/>
    <n v="3242"/>
    <n v="8444"/>
    <s v="Overstock"/>
    <n v="0.11042566317088218"/>
    <s v="Fast"/>
    <n v="5.0620014273743017"/>
    <n v="0.38394126006631929"/>
    <s v="Under Utilized"/>
    <n v="0"/>
  </r>
  <r>
    <x v="30"/>
    <s v="East"/>
    <x v="3"/>
    <s v="Supplier D"/>
    <x v="1"/>
    <x v="0"/>
    <n v="84"/>
    <n v="3175"/>
    <n v="10612.99351"/>
    <b v="1"/>
    <n v="18"/>
    <b v="0"/>
    <n v="13657.59734"/>
    <n v="3590"/>
    <n v="8508"/>
    <s v="Understock"/>
    <n v="2.3398328690807799E-2"/>
    <s v="Slow"/>
    <n v="126.34516083333334"/>
    <n v="0.421955806299953"/>
    <s v="Optimal"/>
    <n v="0"/>
  </r>
  <r>
    <x v="31"/>
    <s v="East"/>
    <x v="2"/>
    <s v="Supplier B"/>
    <x v="1"/>
    <x v="0"/>
    <n v="196"/>
    <n v="4005"/>
    <n v="9228.7296179999994"/>
    <b v="1"/>
    <n v="21"/>
    <b v="0"/>
    <n v="22907.497429999999"/>
    <n v="2698.5"/>
    <n v="5616"/>
    <s v="Overstock"/>
    <n v="7.2632944228274973E-2"/>
    <s v="Slow"/>
    <n v="47.085355193877547"/>
    <n v="0.48050213675213677"/>
    <s v="Optimal"/>
    <n v="0"/>
  </r>
  <r>
    <x v="32"/>
    <s v="South"/>
    <x v="2"/>
    <s v="Supplier C"/>
    <x v="1"/>
    <x v="2"/>
    <n v="764"/>
    <n v="1392"/>
    <n v="3787.6462900000001"/>
    <b v="1"/>
    <n v="25"/>
    <b v="0"/>
    <n v="107139.6553"/>
    <n v="3122"/>
    <n v="6653"/>
    <s v="Understock"/>
    <n v="0.24471492632927611"/>
    <s v="Slow"/>
    <n v="4.9576522120418849"/>
    <n v="0.4692619870735007"/>
    <s v="Optimal"/>
    <n v="0"/>
  </r>
  <r>
    <x v="33"/>
    <s v="North"/>
    <x v="3"/>
    <s v="Supplier C"/>
    <x v="1"/>
    <x v="1"/>
    <n v="488"/>
    <n v="4852"/>
    <n v="10326.38235"/>
    <b v="1"/>
    <n v="29"/>
    <b v="0"/>
    <n v="80063.679820000005"/>
    <n v="2819.5"/>
    <n v="5258"/>
    <s v="Overstock"/>
    <n v="0.17308033339244547"/>
    <s v="Slow"/>
    <n v="21.160619569672132"/>
    <n v="0.53623050589577781"/>
    <s v="Optimal"/>
    <n v="0"/>
  </r>
  <r>
    <x v="34"/>
    <s v="South"/>
    <x v="1"/>
    <s v="Supplier D"/>
    <x v="1"/>
    <x v="0"/>
    <n v="810"/>
    <n v="787"/>
    <n v="6402.6133010000003"/>
    <b v="1"/>
    <n v="16"/>
    <b v="0"/>
    <n v="155560.13500000001"/>
    <n v="2025.5"/>
    <n v="8473"/>
    <s v="Understock"/>
    <n v="0.39990125894840778"/>
    <s v="Slow"/>
    <n v="7.9044608654320996"/>
    <n v="0.23905346394429364"/>
    <s v="Under Utilized"/>
    <n v="0"/>
  </r>
  <r>
    <x v="35"/>
    <s v="North"/>
    <x v="0"/>
    <s v="Supplier A"/>
    <x v="1"/>
    <x v="2"/>
    <n v="160"/>
    <n v="3264"/>
    <n v="4210.1518420000002"/>
    <b v="1"/>
    <n v="12"/>
    <b v="0"/>
    <n v="7001.1103430000003"/>
    <n v="2871.5"/>
    <n v="8555"/>
    <s v="Overstock"/>
    <n v="5.5720006965000873E-2"/>
    <s v="Medium"/>
    <n v="26.313449012500001"/>
    <n v="0.33565166569257743"/>
    <s v="Under Utilized"/>
    <n v="0"/>
  </r>
  <r>
    <x v="36"/>
    <s v="South"/>
    <x v="0"/>
    <s v="Supplier D"/>
    <x v="1"/>
    <x v="0"/>
    <n v="163"/>
    <n v="2479"/>
    <n v="9340.4913880000004"/>
    <b v="0"/>
    <n v="5"/>
    <b v="0"/>
    <n v="17772.092560000001"/>
    <n v="1543.5"/>
    <n v="5993"/>
    <s v="Overstock"/>
    <n v="0.10560414642047296"/>
    <s v="Fast"/>
    <n v="57.303628147239266"/>
    <n v="0.25755047555481397"/>
    <s v="Under Utilized"/>
    <n v="0"/>
  </r>
  <r>
    <x v="37"/>
    <s v="South"/>
    <x v="1"/>
    <s v="Supplier D"/>
    <x v="1"/>
    <x v="1"/>
    <n v="544"/>
    <n v="608"/>
    <n v="7117.9948759999997"/>
    <b v="1"/>
    <n v="7"/>
    <b v="0"/>
    <n v="40525.042099999999"/>
    <n v="2171"/>
    <n v="8109"/>
    <s v="Understock"/>
    <n v="0.25057577153385535"/>
    <s v="Fast"/>
    <n v="13.084549404411764"/>
    <n v="0.26772721667283267"/>
    <s v="Under Utilized"/>
    <n v="0"/>
  </r>
  <r>
    <x v="38"/>
    <s v="North"/>
    <x v="3"/>
    <s v="Supplier D"/>
    <x v="2"/>
    <x v="0"/>
    <n v="637"/>
    <n v="3734"/>
    <n v="1504.9153369999999"/>
    <b v="1"/>
    <n v="10"/>
    <b v="0"/>
    <n v="73669.383000000002"/>
    <n v="4001.5"/>
    <n v="7059"/>
    <s v="Understock"/>
    <n v="0.15919030363613645"/>
    <s v="Medium"/>
    <n v="2.3625044536891679"/>
    <n v="0.56686499504179066"/>
    <s v="Optimal"/>
    <n v="0"/>
  </r>
  <r>
    <x v="39"/>
    <s v="West"/>
    <x v="0"/>
    <s v="Supplier B"/>
    <x v="2"/>
    <x v="0"/>
    <n v="880"/>
    <n v="4269"/>
    <n v="14244.019910000001"/>
    <b v="1"/>
    <n v="7"/>
    <b v="0"/>
    <n v="93875.84852"/>
    <n v="3315"/>
    <n v="8933"/>
    <s v="Overstock"/>
    <n v="0.26546003016591252"/>
    <s v="Fast"/>
    <n v="16.186386261363637"/>
    <n v="0.3710959364155379"/>
    <s v="Under Utilized"/>
    <n v="0"/>
  </r>
  <r>
    <x v="40"/>
    <s v="West"/>
    <x v="2"/>
    <s v="Supplier B"/>
    <x v="0"/>
    <x v="0"/>
    <n v="224"/>
    <n v="2361"/>
    <n v="13981.97998"/>
    <b v="1"/>
    <n v="24"/>
    <b v="0"/>
    <n v="38461.181759999999"/>
    <n v="2944.5"/>
    <n v="6135"/>
    <s v="Understock"/>
    <n v="7.6074036338937001E-2"/>
    <s v="Slow"/>
    <n v="62.419553482142859"/>
    <n v="0.47995110024449877"/>
    <s v="Optimal"/>
    <n v="0"/>
  </r>
  <r>
    <x v="41"/>
    <s v="West"/>
    <x v="3"/>
    <s v="Supplier B"/>
    <x v="2"/>
    <x v="0"/>
    <n v="419"/>
    <n v="3528"/>
    <n v="8465.2322949999998"/>
    <b v="1"/>
    <n v="11"/>
    <b v="0"/>
    <n v="60470.18172"/>
    <n v="4024.5"/>
    <n v="6287"/>
    <s v="Understock"/>
    <n v="0.1041123120884582"/>
    <s v="Medium"/>
    <n v="20.20341836515513"/>
    <n v="0.64013042786702723"/>
    <s v="Optimal"/>
    <n v="0"/>
  </r>
  <r>
    <x v="42"/>
    <s v="North"/>
    <x v="1"/>
    <s v="Supplier A"/>
    <x v="1"/>
    <x v="0"/>
    <n v="862"/>
    <n v="4521"/>
    <n v="12357.93224"/>
    <b v="1"/>
    <n v="18"/>
    <b v="0"/>
    <n v="44424.398630000003"/>
    <n v="2861"/>
    <n v="6275"/>
    <s v="Overstock"/>
    <n v="0.30129325410695562"/>
    <s v="Slow"/>
    <n v="14.336348306264501"/>
    <n v="0.45593625498007967"/>
    <s v="Optimal"/>
    <n v="0"/>
  </r>
  <r>
    <x v="43"/>
    <s v="South"/>
    <x v="3"/>
    <s v="Supplier A"/>
    <x v="0"/>
    <x v="0"/>
    <n v="115"/>
    <n v="1201"/>
    <n v="6852.6189400000003"/>
    <b v="1"/>
    <n v="19"/>
    <b v="0"/>
    <n v="7617.7845850000003"/>
    <n v="2577.5"/>
    <n v="8045"/>
    <s v="Understock"/>
    <n v="4.4616876818622697E-2"/>
    <s v="Slow"/>
    <n v="59.587990782608699"/>
    <n v="0.32038533250466128"/>
    <s v="Under Utilized"/>
    <n v="0"/>
  </r>
  <r>
    <x v="44"/>
    <s v="North"/>
    <x v="1"/>
    <s v="Supplier D"/>
    <x v="0"/>
    <x v="0"/>
    <n v="899"/>
    <n v="3954"/>
    <n v="11277.76989"/>
    <b v="1"/>
    <n v="21"/>
    <b v="1"/>
    <n v="136368.79759999999"/>
    <n v="3328.5"/>
    <n v="5726"/>
    <s v="Overstock"/>
    <n v="0.27009163286765808"/>
    <s v="Slow"/>
    <n v="12.544794093437153"/>
    <n v="0.58129584352078245"/>
    <s v="Optimal"/>
    <n v="1"/>
  </r>
  <r>
    <x v="45"/>
    <s v="West"/>
    <x v="3"/>
    <s v="Supplier D"/>
    <x v="2"/>
    <x v="0"/>
    <n v="416"/>
    <n v="2703"/>
    <n v="5512.0255649999999"/>
    <b v="1"/>
    <n v="17"/>
    <b v="0"/>
    <n v="25875.5298"/>
    <n v="1610"/>
    <n v="9326"/>
    <s v="Overstock"/>
    <n v="0.25838509316770186"/>
    <s v="Slow"/>
    <n v="13.250061454326923"/>
    <n v="0.17263564229037101"/>
    <s v="Under Utilized"/>
    <n v="0"/>
  </r>
  <r>
    <x v="46"/>
    <s v="South"/>
    <x v="0"/>
    <s v="Supplier B"/>
    <x v="0"/>
    <x v="0"/>
    <n v="899"/>
    <n v="517"/>
    <n v="1531.1052689999999"/>
    <b v="1"/>
    <n v="29"/>
    <b v="0"/>
    <n v="122327.7816"/>
    <n v="1933.5"/>
    <n v="5179"/>
    <s v="Understock"/>
    <n v="0.46495991724851304"/>
    <s v="Slow"/>
    <n v="1.7031204327030032"/>
    <n v="0.37333462058312417"/>
    <s v="Under Utilized"/>
    <n v="0"/>
  </r>
  <r>
    <x v="47"/>
    <s v="West"/>
    <x v="1"/>
    <s v="Supplier A"/>
    <x v="2"/>
    <x v="2"/>
    <n v="167"/>
    <n v="3350"/>
    <n v="4644.7010060000002"/>
    <b v="0"/>
    <n v="24"/>
    <b v="0"/>
    <n v="26062.892510000001"/>
    <n v="3929.5"/>
    <n v="8868"/>
    <s v="Understock"/>
    <n v="4.2499045680111973E-2"/>
    <s v="Slow"/>
    <n v="27.812580874251498"/>
    <n v="0.44311005863779884"/>
    <s v="Optimal"/>
    <n v="0"/>
  </r>
  <r>
    <x v="48"/>
    <s v="North"/>
    <x v="2"/>
    <s v="Supplier A"/>
    <x v="0"/>
    <x v="0"/>
    <n v="197"/>
    <n v="4509"/>
    <n v="14603.986779999999"/>
    <b v="1"/>
    <n v="22"/>
    <b v="0"/>
    <n v="24967.371810000001"/>
    <n v="4374.5"/>
    <n v="8831"/>
    <s v="Overstock"/>
    <n v="4.503371813921591E-2"/>
    <s v="Slow"/>
    <n v="74.131912588832478"/>
    <n v="0.49535726418299175"/>
    <s v="Optimal"/>
    <n v="0"/>
  </r>
  <r>
    <x v="49"/>
    <s v="North"/>
    <x v="0"/>
    <s v="Supplier A"/>
    <x v="0"/>
    <x v="2"/>
    <n v="586"/>
    <n v="4240"/>
    <n v="11623.975420000001"/>
    <b v="1"/>
    <n v="28"/>
    <b v="1"/>
    <n v="33931.89301"/>
    <n v="3948.5"/>
    <n v="5873"/>
    <s v="Overstock"/>
    <n v="0.14841078890717993"/>
    <s v="Slow"/>
    <n v="19.836135529010239"/>
    <n v="0.67231397922697089"/>
    <s v="Optimal"/>
    <n v="1"/>
  </r>
  <r>
    <x v="50"/>
    <s v="North"/>
    <x v="0"/>
    <s v="Supplier D"/>
    <x v="0"/>
    <x v="0"/>
    <n v="758"/>
    <n v="3657"/>
    <n v="11802.50374"/>
    <b v="1"/>
    <n v="21"/>
    <b v="0"/>
    <n v="70439.512889999998"/>
    <n v="2233"/>
    <n v="5467"/>
    <s v="Overstock"/>
    <n v="0.33945364979847736"/>
    <s v="Slow"/>
    <n v="15.570585408970976"/>
    <n v="0.40845070422535212"/>
    <s v="Optimal"/>
    <n v="0"/>
  </r>
  <r>
    <x v="51"/>
    <s v="East"/>
    <x v="0"/>
    <s v="Supplier A"/>
    <x v="1"/>
    <x v="0"/>
    <n v="318"/>
    <n v="809"/>
    <n v="9952.0873580000007"/>
    <b v="1"/>
    <n v="17"/>
    <b v="1"/>
    <n v="38176.309520000003"/>
    <n v="513.5"/>
    <n v="5931"/>
    <s v="Overstock"/>
    <n v="0.61927945472249268"/>
    <s v="Slow"/>
    <n v="31.295872194968556"/>
    <n v="8.6578991738324063E-2"/>
    <s v="Under Utilized"/>
    <n v="1"/>
  </r>
  <r>
    <x v="52"/>
    <s v="South"/>
    <x v="3"/>
    <s v="Supplier D"/>
    <x v="0"/>
    <x v="0"/>
    <n v="478"/>
    <n v="218"/>
    <n v="8105.2583260000001"/>
    <b v="0"/>
    <n v="29"/>
    <b v="0"/>
    <n v="47059.70534"/>
    <n v="1170"/>
    <n v="5090"/>
    <s v="Understock"/>
    <n v="0.40854700854700854"/>
    <s v="Slow"/>
    <n v="16.956607376569039"/>
    <n v="0.22986247544204322"/>
    <s v="Under Utilized"/>
    <n v="0"/>
  </r>
  <r>
    <x v="53"/>
    <s v="East"/>
    <x v="1"/>
    <s v="Supplier A"/>
    <x v="0"/>
    <x v="0"/>
    <n v="655"/>
    <n v="2122"/>
    <n v="4932.680969"/>
    <b v="1"/>
    <n v="6"/>
    <b v="0"/>
    <n v="22700.324499999999"/>
    <n v="3410"/>
    <n v="5683"/>
    <s v="Understock"/>
    <n v="0.19208211143695014"/>
    <s v="Fast"/>
    <n v="7.5308106396946561"/>
    <n v="0.60003519267992256"/>
    <s v="Optimal"/>
    <n v="0"/>
  </r>
  <r>
    <x v="54"/>
    <s v="South"/>
    <x v="0"/>
    <s v="Supplier A"/>
    <x v="0"/>
    <x v="0"/>
    <n v="536"/>
    <n v="4698"/>
    <n v="3412.7191120000002"/>
    <b v="1"/>
    <n v="27"/>
    <b v="0"/>
    <n v="103533.1724"/>
    <n v="3420"/>
    <n v="8494"/>
    <s v="Overstock"/>
    <n v="0.15672514619883041"/>
    <s v="Slow"/>
    <n v="6.3670132686567165"/>
    <n v="0.40263715563927477"/>
    <s v="Optimal"/>
    <n v="0"/>
  </r>
  <r>
    <x v="55"/>
    <s v="West"/>
    <x v="2"/>
    <s v="Supplier A"/>
    <x v="2"/>
    <x v="0"/>
    <n v="481"/>
    <n v="2142"/>
    <n v="6629.1872579999999"/>
    <b v="1"/>
    <n v="27"/>
    <b v="0"/>
    <n v="44693.742160000002"/>
    <n v="1872"/>
    <n v="9889"/>
    <s v="Overstock"/>
    <n v="0.25694444444444442"/>
    <s v="Slow"/>
    <n v="13.782094091476091"/>
    <n v="0.18930124380624938"/>
    <s v="Under Utilized"/>
    <n v="0"/>
  </r>
  <r>
    <x v="56"/>
    <s v="East"/>
    <x v="2"/>
    <s v="Supplier B"/>
    <x v="0"/>
    <x v="0"/>
    <n v="841"/>
    <n v="1602"/>
    <n v="9057.4762179999998"/>
    <b v="1"/>
    <n v="29"/>
    <b v="0"/>
    <n v="143001.22940000001"/>
    <n v="1009.5"/>
    <n v="6172"/>
    <s v="Overstock"/>
    <n v="0.83308568598316002"/>
    <s v="Slow"/>
    <n v="10.769888487514862"/>
    <n v="0.16356124432922878"/>
    <s v="Under Utilized"/>
    <n v="0"/>
  </r>
  <r>
    <x v="57"/>
    <s v="West"/>
    <x v="2"/>
    <s v="Supplier A"/>
    <x v="2"/>
    <x v="1"/>
    <n v="567"/>
    <n v="417"/>
    <n v="10110.393120000001"/>
    <b v="1"/>
    <n v="22"/>
    <b v="0"/>
    <n v="36611.983630000002"/>
    <n v="1445.5"/>
    <n v="5025"/>
    <s v="Understock"/>
    <n v="0.39225181598062953"/>
    <s v="Slow"/>
    <n v="17.831381164021167"/>
    <n v="0.28766169154228854"/>
    <s v="Under Utilized"/>
    <n v="0"/>
  </r>
  <r>
    <x v="58"/>
    <s v="North"/>
    <x v="1"/>
    <s v="Supplier B"/>
    <x v="0"/>
    <x v="2"/>
    <n v="953"/>
    <n v="2474"/>
    <n v="8191.1511950000004"/>
    <b v="1"/>
    <n v="10"/>
    <b v="0"/>
    <n v="145928.66639999999"/>
    <n v="2319"/>
    <n v="5980"/>
    <s v="Overstock"/>
    <n v="0.41095299698145754"/>
    <s v="Medium"/>
    <n v="8.595121925498427"/>
    <n v="0.38779264214046821"/>
    <s v="Under Utilized"/>
    <n v="0"/>
  </r>
  <r>
    <x v="59"/>
    <s v="South"/>
    <x v="3"/>
    <s v="Supplier B"/>
    <x v="1"/>
    <x v="2"/>
    <n v="971"/>
    <n v="2164"/>
    <n v="10255.97538"/>
    <b v="1"/>
    <n v="16"/>
    <b v="0"/>
    <n v="149515.19339999999"/>
    <n v="3472.5"/>
    <n v="5762"/>
    <s v="Understock"/>
    <n v="0.27962562994960405"/>
    <s v="Slow"/>
    <n v="10.562281544799175"/>
    <n v="0.60265532801110722"/>
    <s v="Optimal"/>
    <n v="0"/>
  </r>
  <r>
    <x v="60"/>
    <s v="North"/>
    <x v="2"/>
    <s v="Supplier A"/>
    <x v="2"/>
    <x v="0"/>
    <n v="372"/>
    <n v="4781"/>
    <n v="1327.8740270000001"/>
    <b v="1"/>
    <n v="22"/>
    <b v="0"/>
    <n v="73748.187239999999"/>
    <n v="3131"/>
    <n v="7201"/>
    <s v="Overstock"/>
    <n v="0.11881188118811881"/>
    <s v="Slow"/>
    <n v="3.5695538360215058"/>
    <n v="0.4348007221219275"/>
    <s v="Optimal"/>
    <n v="0"/>
  </r>
  <r>
    <x v="61"/>
    <s v="West"/>
    <x v="0"/>
    <s v="Supplier D"/>
    <x v="2"/>
    <x v="0"/>
    <n v="298"/>
    <n v="1481"/>
    <n v="9278.9450369999995"/>
    <b v="1"/>
    <n v="15"/>
    <b v="0"/>
    <n v="59564.056989999997"/>
    <n v="2219"/>
    <n v="9362"/>
    <s v="Understock"/>
    <n v="0.13429472735466427"/>
    <s v="Slow"/>
    <n v="31.137399453020134"/>
    <n v="0.2370220038453322"/>
    <s v="Under Utilized"/>
    <n v="0"/>
  </r>
  <r>
    <x v="62"/>
    <s v="South"/>
    <x v="3"/>
    <s v="Supplier A"/>
    <x v="1"/>
    <x v="0"/>
    <n v="863"/>
    <n v="2957"/>
    <n v="1757.855215"/>
    <b v="1"/>
    <n v="19"/>
    <b v="0"/>
    <n v="130185.014"/>
    <n v="3665"/>
    <n v="8369"/>
    <s v="Understock"/>
    <n v="0.2354706684856753"/>
    <s v="Slow"/>
    <n v="2.0369121842410198"/>
    <n v="0.43792567809774169"/>
    <s v="Optimal"/>
    <n v="0"/>
  </r>
  <r>
    <x v="63"/>
    <s v="East"/>
    <x v="1"/>
    <s v="Supplier A"/>
    <x v="1"/>
    <x v="0"/>
    <n v="117"/>
    <n v="4373"/>
    <n v="3332.7049320000001"/>
    <b v="1"/>
    <n v="12"/>
    <b v="0"/>
    <n v="12284.48648"/>
    <n v="2815.5"/>
    <n v="9641"/>
    <s v="Overstock"/>
    <n v="4.1555673947789022E-2"/>
    <s v="Medium"/>
    <n v="28.484657538461541"/>
    <n v="0.29203402136707812"/>
    <s v="Under Utilized"/>
    <n v="0"/>
  </r>
  <r>
    <x v="64"/>
    <s v="East"/>
    <x v="0"/>
    <s v="Supplier C"/>
    <x v="2"/>
    <x v="0"/>
    <n v="530"/>
    <n v="1258"/>
    <n v="11838.02241"/>
    <b v="1"/>
    <n v="3"/>
    <b v="0"/>
    <n v="91308.726590000006"/>
    <n v="722.5"/>
    <n v="7226"/>
    <s v="Overstock"/>
    <n v="0.73356401384083048"/>
    <s v="Fast"/>
    <n v="22.335891339622641"/>
    <n v="9.9986161084970937E-2"/>
    <s v="Under Utilized"/>
    <n v="0"/>
  </r>
  <r>
    <x v="65"/>
    <s v="East"/>
    <x v="2"/>
    <s v="Supplier D"/>
    <x v="2"/>
    <x v="0"/>
    <n v="781"/>
    <n v="187"/>
    <n v="13544.208619999999"/>
    <b v="1"/>
    <n v="9"/>
    <b v="0"/>
    <n v="106400.8806"/>
    <n v="2225"/>
    <n v="9750"/>
    <s v="Understock"/>
    <n v="0.35101123595505618"/>
    <s v="Medium"/>
    <n v="17.342136517285532"/>
    <n v="0.2282051282051282"/>
    <s v="Under Utilized"/>
    <n v="0"/>
  </r>
  <r>
    <x v="66"/>
    <s v="East"/>
    <x v="2"/>
    <s v="Supplier B"/>
    <x v="2"/>
    <x v="2"/>
    <n v="517"/>
    <n v="4263"/>
    <n v="12369.601839999999"/>
    <b v="1"/>
    <n v="1"/>
    <b v="0"/>
    <n v="29422.42699"/>
    <n v="3872.5"/>
    <n v="9270"/>
    <s v="Overstock"/>
    <n v="0.13350548741123305"/>
    <s v="Fast"/>
    <n v="23.925728897485492"/>
    <n v="0.41774541531823084"/>
    <s v="Optimal"/>
    <n v="0"/>
  </r>
  <r>
    <x v="67"/>
    <s v="South"/>
    <x v="3"/>
    <s v="Supplier D"/>
    <x v="1"/>
    <x v="2"/>
    <n v="281"/>
    <n v="3482"/>
    <n v="4246.6933939999999"/>
    <b v="0"/>
    <n v="7"/>
    <b v="1"/>
    <n v="15548.20658"/>
    <n v="3153.5"/>
    <n v="9908"/>
    <s v="Overstock"/>
    <n v="8.9107341049627392E-2"/>
    <s v="Fast"/>
    <n v="15.112787879003559"/>
    <n v="0.31827815906338314"/>
    <s v="Under Utilized"/>
    <n v="1"/>
  </r>
  <r>
    <x v="68"/>
    <s v="South"/>
    <x v="3"/>
    <s v="Supplier D"/>
    <x v="2"/>
    <x v="1"/>
    <n v="186"/>
    <n v="2825"/>
    <n v="7383.4563429999998"/>
    <b v="1"/>
    <n v="1"/>
    <b v="0"/>
    <n v="31065.378349999999"/>
    <n v="1664"/>
    <n v="8797"/>
    <s v="Overstock"/>
    <n v="0.11177884615384616"/>
    <s v="Fast"/>
    <n v="39.69600184408602"/>
    <n v="0.18915539388427874"/>
    <s v="Under Utilized"/>
    <n v="0"/>
  </r>
  <r>
    <x v="69"/>
    <s v="South"/>
    <x v="0"/>
    <s v="Supplier D"/>
    <x v="2"/>
    <x v="0"/>
    <n v="160"/>
    <n v="503"/>
    <n v="8041.955293"/>
    <b v="1"/>
    <n v="21"/>
    <b v="0"/>
    <n v="15654.48396"/>
    <n v="1976.5"/>
    <n v="8246"/>
    <s v="Understock"/>
    <n v="8.0951176321780921E-2"/>
    <s v="Slow"/>
    <n v="50.262220581249998"/>
    <n v="0.23969197186514674"/>
    <s v="Under Utilized"/>
    <n v="0"/>
  </r>
  <r>
    <x v="70"/>
    <s v="South"/>
    <x v="3"/>
    <s v="Supplier B"/>
    <x v="0"/>
    <x v="2"/>
    <n v="721"/>
    <n v="3450"/>
    <n v="3578.023972"/>
    <b v="1"/>
    <n v="24"/>
    <b v="0"/>
    <n v="101751.2752"/>
    <n v="3390"/>
    <n v="5088"/>
    <s v="Overstock"/>
    <n v="0.2126843657817109"/>
    <s v="Slow"/>
    <n v="4.9625852593619975"/>
    <n v="0.66627358490566035"/>
    <s v="Optimal"/>
    <n v="0"/>
  </r>
  <r>
    <x v="71"/>
    <s v="South"/>
    <x v="1"/>
    <s v="Supplier D"/>
    <x v="1"/>
    <x v="2"/>
    <n v="204"/>
    <n v="3330"/>
    <n v="14194.723470000001"/>
    <b v="1"/>
    <n v="4"/>
    <b v="0"/>
    <n v="8340.1584550000007"/>
    <n v="2301.5"/>
    <n v="8804"/>
    <s v="Overstock"/>
    <n v="8.8637844883771452E-2"/>
    <s v="Fast"/>
    <n v="69.581977794117648"/>
    <n v="0.26141526578827806"/>
    <s v="Under Utilized"/>
    <n v="0"/>
  </r>
  <r>
    <x v="72"/>
    <s v="South"/>
    <x v="1"/>
    <s v="Supplier B"/>
    <x v="1"/>
    <x v="0"/>
    <n v="105"/>
    <n v="1273"/>
    <n v="8485.0121259999996"/>
    <b v="1"/>
    <n v="2"/>
    <b v="0"/>
    <n v="10800.373680000001"/>
    <n v="2069"/>
    <n v="6647"/>
    <s v="Understock"/>
    <n v="5.0749154180763652E-2"/>
    <s v="Fast"/>
    <n v="80.809639295238085"/>
    <n v="0.31126824131187003"/>
    <s v="Under Utilized"/>
    <n v="0"/>
  </r>
  <r>
    <x v="73"/>
    <s v="West"/>
    <x v="3"/>
    <s v="Supplier B"/>
    <x v="1"/>
    <x v="0"/>
    <n v="228"/>
    <n v="2865"/>
    <n v="6972.1414020000002"/>
    <b v="1"/>
    <n v="20"/>
    <b v="0"/>
    <n v="21437.912909999999"/>
    <n v="2603"/>
    <n v="7818"/>
    <s v="Overstock"/>
    <n v="8.7591240875912413E-2"/>
    <s v="Slow"/>
    <n v="30.57956755263158"/>
    <n v="0.3329496034791507"/>
    <s v="Under Utilized"/>
    <n v="0"/>
  </r>
  <r>
    <x v="74"/>
    <s v="West"/>
    <x v="2"/>
    <s v="Supplier A"/>
    <x v="1"/>
    <x v="0"/>
    <n v="141"/>
    <n v="2341"/>
    <n v="13577.68879"/>
    <b v="1"/>
    <n v="1"/>
    <b v="0"/>
    <n v="16950.790110000002"/>
    <n v="2962"/>
    <n v="7316"/>
    <s v="Understock"/>
    <n v="4.7602970965563811E-2"/>
    <s v="Fast"/>
    <n v="96.295665177304969"/>
    <n v="0.40486604702022966"/>
    <s v="Optimal"/>
    <n v="0"/>
  </r>
  <r>
    <x v="75"/>
    <s v="South"/>
    <x v="1"/>
    <s v="Supplier C"/>
    <x v="1"/>
    <x v="0"/>
    <n v="490"/>
    <n v="3583"/>
    <n v="11652.06228"/>
    <b v="1"/>
    <n v="27"/>
    <b v="0"/>
    <n v="54851.857089999998"/>
    <n v="3611"/>
    <n v="8902"/>
    <s v="Understock"/>
    <n v="0.13569648296870673"/>
    <s v="Slow"/>
    <n v="23.77971893877551"/>
    <n v="0.40563918220624579"/>
    <s v="Optimal"/>
    <n v="0"/>
  </r>
  <r>
    <x v="76"/>
    <s v="East"/>
    <x v="0"/>
    <s v="Supplier D"/>
    <x v="1"/>
    <x v="0"/>
    <n v="368"/>
    <n v="3639"/>
    <n v="922.29488230000004"/>
    <b v="1"/>
    <n v="29"/>
    <b v="0"/>
    <n v="57934.378089999998"/>
    <n v="2383"/>
    <n v="6655"/>
    <s v="Overstock"/>
    <n v="0.15442719261435164"/>
    <s v="Slow"/>
    <n v="2.506236093206522"/>
    <n v="0.35807663410969198"/>
    <s v="Under Utilized"/>
    <n v="0"/>
  </r>
  <r>
    <x v="77"/>
    <s v="East"/>
    <x v="3"/>
    <s v="Supplier D"/>
    <x v="2"/>
    <x v="1"/>
    <n v="493"/>
    <n v="1127"/>
    <n v="13681.406870000001"/>
    <b v="1"/>
    <n v="21"/>
    <b v="0"/>
    <n v="19145.558990000001"/>
    <n v="1716"/>
    <n v="5198"/>
    <s v="Understock"/>
    <n v="0.28729603729603731"/>
    <s v="Slow"/>
    <n v="27.751332393509131"/>
    <n v="0.33012697191227397"/>
    <s v="Under Utilized"/>
    <n v="0"/>
  </r>
  <r>
    <x v="78"/>
    <s v="East"/>
    <x v="3"/>
    <s v="Supplier A"/>
    <x v="0"/>
    <x v="0"/>
    <n v="364"/>
    <n v="2305"/>
    <n v="6159.7237990000003"/>
    <b v="1"/>
    <n v="8"/>
    <b v="0"/>
    <n v="26091.38895"/>
    <n v="3104"/>
    <n v="5034"/>
    <s v="Understock"/>
    <n v="0.1172680412371134"/>
    <s v="Medium"/>
    <n v="16.922318129120882"/>
    <n v="0.61660707191100517"/>
    <s v="Optimal"/>
    <n v="0"/>
  </r>
  <r>
    <x v="79"/>
    <s v="South"/>
    <x v="1"/>
    <s v="Supplier C"/>
    <x v="1"/>
    <x v="0"/>
    <n v="707"/>
    <n v="3903"/>
    <n v="7501.7387449999997"/>
    <b v="0"/>
    <n v="17"/>
    <b v="0"/>
    <n v="71317.386169999998"/>
    <n v="3219.5"/>
    <n v="7941"/>
    <s v="Overstock"/>
    <n v="0.21959931666407828"/>
    <s v="Slow"/>
    <n v="10.610663005657708"/>
    <n v="0.40542752801914117"/>
    <s v="Optimal"/>
    <n v="0"/>
  </r>
  <r>
    <x v="80"/>
    <s v="South"/>
    <x v="1"/>
    <s v="Supplier C"/>
    <x v="1"/>
    <x v="0"/>
    <n v="845"/>
    <n v="2536"/>
    <n v="9435.489415"/>
    <b v="1"/>
    <n v="8"/>
    <b v="0"/>
    <n v="32790.341139999997"/>
    <n v="3662.5"/>
    <n v="8321"/>
    <s v="Understock"/>
    <n v="0.23071672354948805"/>
    <s v="Medium"/>
    <n v="11.166259662721894"/>
    <n v="0.44015142410767938"/>
    <s v="Optimal"/>
    <n v="0"/>
  </r>
  <r>
    <x v="81"/>
    <s v="North"/>
    <x v="1"/>
    <s v="Supplier D"/>
    <x v="2"/>
    <x v="0"/>
    <n v="895"/>
    <n v="4789"/>
    <n v="10579.23733"/>
    <b v="0"/>
    <n v="29"/>
    <b v="0"/>
    <n v="156015.51240000001"/>
    <n v="3741.5"/>
    <n v="5059"/>
    <s v="Overstock"/>
    <n v="0.23920887344647868"/>
    <s v="Slow"/>
    <n v="11.820376905027933"/>
    <n v="0.739573038149832"/>
    <s v="Optimal"/>
    <n v="0"/>
  </r>
  <r>
    <x v="82"/>
    <s v="North"/>
    <x v="2"/>
    <s v="Supplier A"/>
    <x v="2"/>
    <x v="0"/>
    <n v="604"/>
    <n v="2694"/>
    <n v="3069.6183249999999"/>
    <b v="1"/>
    <n v="20"/>
    <b v="0"/>
    <n v="65705.432879999993"/>
    <n v="2036"/>
    <n v="5434"/>
    <s v="Overstock"/>
    <n v="0.29666011787819252"/>
    <s v="Slow"/>
    <n v="5.0821495447019869"/>
    <n v="0.37467795362532202"/>
    <s v="Under Utilized"/>
    <n v="0"/>
  </r>
  <r>
    <x v="83"/>
    <s v="East"/>
    <x v="3"/>
    <s v="Supplier C"/>
    <x v="0"/>
    <x v="1"/>
    <n v="190"/>
    <n v="1378"/>
    <n v="5665.6234720000002"/>
    <b v="1"/>
    <n v="4"/>
    <b v="0"/>
    <n v="28148.79219"/>
    <n v="1760"/>
    <n v="5565"/>
    <s v="Understock"/>
    <n v="0.10795454545454546"/>
    <s v="Fast"/>
    <n v="29.81907090526316"/>
    <n v="0.31626235399820307"/>
    <s v="Under Utilized"/>
    <n v="0"/>
  </r>
  <r>
    <x v="84"/>
    <s v="East"/>
    <x v="2"/>
    <s v="Supplier A"/>
    <x v="0"/>
    <x v="0"/>
    <n v="239"/>
    <n v="2142"/>
    <n v="4123.3702929999999"/>
    <b v="1"/>
    <n v="12"/>
    <b v="0"/>
    <n v="46901.028019999998"/>
    <n v="2341"/>
    <n v="9302"/>
    <s v="Understock"/>
    <n v="0.10209312259718069"/>
    <s v="Medium"/>
    <n v="17.252595368200836"/>
    <n v="0.25166630832079123"/>
    <s v="Under Utilized"/>
    <n v="0"/>
  </r>
  <r>
    <x v="85"/>
    <s v="East"/>
    <x v="1"/>
    <s v="Supplier D"/>
    <x v="1"/>
    <x v="0"/>
    <n v="579"/>
    <n v="2540"/>
    <n v="4661.3085920000003"/>
    <b v="1"/>
    <n v="26"/>
    <b v="0"/>
    <n v="81933.358980000005"/>
    <n v="2032.5"/>
    <n v="6389"/>
    <s v="Overstock"/>
    <n v="0.28487084870848711"/>
    <s v="Slow"/>
    <n v="8.0506193298791029"/>
    <n v="0.31812490217561434"/>
    <s v="Under Utilized"/>
    <n v="0"/>
  </r>
  <r>
    <x v="86"/>
    <s v="East"/>
    <x v="2"/>
    <s v="Supplier D"/>
    <x v="0"/>
    <x v="1"/>
    <n v="74"/>
    <n v="1525"/>
    <n v="10925.781929999999"/>
    <b v="1"/>
    <n v="14"/>
    <b v="0"/>
    <n v="10497.63474"/>
    <n v="1707"/>
    <n v="9605"/>
    <s v="Understock"/>
    <n v="4.3350908025776215E-2"/>
    <s v="Medium"/>
    <n v="147.64570175675675"/>
    <n v="0.17771993753253515"/>
    <s v="Under Utilized"/>
    <n v="0"/>
  </r>
  <r>
    <x v="87"/>
    <s v="West"/>
    <x v="1"/>
    <s v="Supplier A"/>
    <x v="0"/>
    <x v="2"/>
    <n v="476"/>
    <n v="1889"/>
    <n v="5425.5429679999997"/>
    <b v="1"/>
    <n v="9"/>
    <b v="0"/>
    <n v="20858.082050000001"/>
    <n v="1745.5"/>
    <n v="5604"/>
    <s v="Overstock"/>
    <n v="0.27270123173875682"/>
    <s v="Medium"/>
    <n v="11.398199512605041"/>
    <n v="0.3114739471805853"/>
    <s v="Under Utilized"/>
    <n v="0"/>
  </r>
  <r>
    <x v="88"/>
    <s v="North"/>
    <x v="0"/>
    <s v="Supplier A"/>
    <x v="1"/>
    <x v="0"/>
    <n v="183"/>
    <n v="1602"/>
    <n v="6845.8713889999999"/>
    <b v="1"/>
    <n v="5"/>
    <b v="0"/>
    <n v="6860.6046239999996"/>
    <n v="2285.5"/>
    <n v="9046"/>
    <s v="Understock"/>
    <n v="8.007000656311529E-2"/>
    <s v="Fast"/>
    <n v="37.409133273224043"/>
    <n v="0.25265310634534599"/>
    <s v="Under Utilized"/>
    <n v="0"/>
  </r>
  <r>
    <x v="89"/>
    <s v="North"/>
    <x v="3"/>
    <s v="Supplier B"/>
    <x v="2"/>
    <x v="0"/>
    <n v="220"/>
    <n v="2969"/>
    <n v="7776.3954450000001"/>
    <b v="1"/>
    <n v="8"/>
    <b v="0"/>
    <n v="26181.53414"/>
    <n v="2338"/>
    <n v="8825"/>
    <s v="Overstock"/>
    <n v="9.4097519247219846E-2"/>
    <s v="Medium"/>
    <n v="35.347252022727275"/>
    <n v="0.26492917847025493"/>
    <s v="Under Utilized"/>
    <n v="0"/>
  </r>
  <r>
    <x v="90"/>
    <s v="East"/>
    <x v="1"/>
    <s v="Supplier A"/>
    <x v="2"/>
    <x v="0"/>
    <n v="840"/>
    <n v="1707"/>
    <n v="13170.023010000001"/>
    <b v="1"/>
    <n v="7"/>
    <b v="1"/>
    <n v="95831.826409999994"/>
    <n v="2141"/>
    <n v="7963"/>
    <s v="Understock"/>
    <n v="0.39234002802428769"/>
    <s v="Fast"/>
    <n v="15.678598821428572"/>
    <n v="0.26886851689061914"/>
    <s v="Under Utilized"/>
    <n v="1"/>
  </r>
  <r>
    <x v="91"/>
    <s v="South"/>
    <x v="1"/>
    <s v="Supplier A"/>
    <x v="2"/>
    <x v="0"/>
    <n v="938"/>
    <n v="2575"/>
    <n v="13732.69051"/>
    <b v="1"/>
    <n v="5"/>
    <b v="0"/>
    <n v="153675.55609999999"/>
    <n v="1831.5"/>
    <n v="5828"/>
    <s v="Overstock"/>
    <n v="0.5121485121485122"/>
    <s v="Fast"/>
    <n v="14.640395"/>
    <n v="0.31425875085792726"/>
    <s v="Under Utilized"/>
    <n v="0"/>
  </r>
  <r>
    <x v="92"/>
    <s v="South"/>
    <x v="0"/>
    <s v="Supplier A"/>
    <x v="1"/>
    <x v="0"/>
    <n v="469"/>
    <n v="1088"/>
    <n v="10100.62147"/>
    <b v="1"/>
    <n v="12"/>
    <b v="0"/>
    <n v="43290.717799999999"/>
    <n v="933"/>
    <n v="7259"/>
    <s v="Overstock"/>
    <n v="0.50267952840300112"/>
    <s v="Medium"/>
    <n v="21.536506332622601"/>
    <n v="0.12853010056481609"/>
    <s v="Under Utilized"/>
    <n v="0"/>
  </r>
  <r>
    <x v="93"/>
    <s v="North"/>
    <x v="3"/>
    <s v="Supplier B"/>
    <x v="2"/>
    <x v="0"/>
    <n v="986"/>
    <n v="778"/>
    <n v="7794.1343399999996"/>
    <b v="0"/>
    <n v="27"/>
    <b v="0"/>
    <n v="26539.783589999999"/>
    <n v="1390.5"/>
    <n v="8071"/>
    <s v="Understock"/>
    <n v="0.70909744696152466"/>
    <s v="Slow"/>
    <n v="7.9048015618661251"/>
    <n v="0.17228348407880065"/>
    <s v="Under Utilized"/>
    <n v="0"/>
  </r>
  <r>
    <x v="94"/>
    <s v="West"/>
    <x v="2"/>
    <s v="Supplier B"/>
    <x v="1"/>
    <x v="1"/>
    <n v="895"/>
    <n v="2003"/>
    <n v="13920.95363"/>
    <b v="1"/>
    <n v="13"/>
    <b v="0"/>
    <n v="142263.47039999999"/>
    <n v="2521"/>
    <n v="9379"/>
    <s v="Understock"/>
    <n v="0.35501785005950021"/>
    <s v="Medium"/>
    <n v="15.554138134078212"/>
    <n v="0.2687919820876426"/>
    <s v="Under Utilized"/>
    <n v="0"/>
  </r>
  <r>
    <x v="95"/>
    <s v="South"/>
    <x v="2"/>
    <s v="Supplier A"/>
    <x v="1"/>
    <x v="0"/>
    <n v="417"/>
    <n v="3039"/>
    <n v="5955.3259859999998"/>
    <b v="1"/>
    <n v="4"/>
    <b v="0"/>
    <n v="38229.639909999998"/>
    <n v="3668.5"/>
    <n v="9899"/>
    <s v="Understock"/>
    <n v="0.11367043750851846"/>
    <s v="Fast"/>
    <n v="14.28135728057554"/>
    <n v="0.37059298919082734"/>
    <s v="Under Utilized"/>
    <n v="0"/>
  </r>
  <r>
    <x v="96"/>
    <s v="North"/>
    <x v="2"/>
    <s v="Supplier A"/>
    <x v="1"/>
    <x v="2"/>
    <n v="543"/>
    <n v="4298"/>
    <n v="1370.1187930000001"/>
    <b v="1"/>
    <n v="15"/>
    <b v="0"/>
    <n v="66273.288109999994"/>
    <n v="3124"/>
    <n v="9304"/>
    <s v="Overstock"/>
    <n v="0.17381562099871958"/>
    <s v="Slow"/>
    <n v="2.5232390294659304"/>
    <n v="0.33576956147893378"/>
    <s v="Under Utilized"/>
    <n v="0"/>
  </r>
  <r>
    <x v="97"/>
    <s v="West"/>
    <x v="1"/>
    <s v="Supplier A"/>
    <x v="1"/>
    <x v="2"/>
    <n v="715"/>
    <n v="1950"/>
    <n v="12471.249659999999"/>
    <b v="1"/>
    <n v="24"/>
    <b v="0"/>
    <n v="19932.664529999998"/>
    <n v="1560"/>
    <n v="9654"/>
    <s v="Overstock"/>
    <n v="0.45833333333333331"/>
    <s v="Slow"/>
    <n v="17.442307216783217"/>
    <n v="0.16159105034182722"/>
    <s v="Under Utilized"/>
    <n v="0"/>
  </r>
  <r>
    <x v="98"/>
    <s v="South"/>
    <x v="2"/>
    <s v="Supplier A"/>
    <x v="0"/>
    <x v="0"/>
    <n v="749"/>
    <n v="1170"/>
    <n v="14634.16273"/>
    <b v="1"/>
    <n v="9"/>
    <b v="0"/>
    <n v="122385.261"/>
    <n v="1407.5"/>
    <n v="5652"/>
    <s v="Understock"/>
    <n v="0.53214920071047955"/>
    <s v="Medium"/>
    <n v="19.538267997329772"/>
    <n v="0.2490268931351734"/>
    <s v="Under Utilized"/>
    <n v="0"/>
  </r>
  <r>
    <x v="99"/>
    <s v="East"/>
    <x v="2"/>
    <s v="Supplier C"/>
    <x v="2"/>
    <x v="1"/>
    <n v="514"/>
    <n v="1645"/>
    <n v="9733.9112320000004"/>
    <b v="0"/>
    <n v="28"/>
    <b v="0"/>
    <n v="61069.01511"/>
    <n v="2112.5"/>
    <n v="9765"/>
    <s v="Understock"/>
    <n v="0.24331360946745562"/>
    <s v="Slow"/>
    <n v="18.937570490272375"/>
    <n v="0.21633384536610342"/>
    <s v="Under Utilized"/>
    <n v="0"/>
  </r>
  <r>
    <x v="100"/>
    <s v="East"/>
    <x v="0"/>
    <s v="Supplier D"/>
    <x v="2"/>
    <x v="0"/>
    <n v="394"/>
    <n v="2580"/>
    <n v="2956.6248300000002"/>
    <b v="1"/>
    <n v="13"/>
    <b v="0"/>
    <n v="76081.407479999994"/>
    <n v="2726"/>
    <n v="8838"/>
    <s v="Understock"/>
    <n v="0.14453411592076301"/>
    <s v="Medium"/>
    <n v="7.5041239340101527"/>
    <n v="0.3084408237157728"/>
    <s v="Under Utilized"/>
    <n v="0"/>
  </r>
  <r>
    <x v="101"/>
    <s v="South"/>
    <x v="1"/>
    <s v="Supplier B"/>
    <x v="1"/>
    <x v="0"/>
    <n v="61"/>
    <n v="2872"/>
    <n v="7059.1190580000002"/>
    <b v="1"/>
    <n v="13"/>
    <b v="0"/>
    <n v="1877.423401"/>
    <n v="3182"/>
    <n v="9359"/>
    <s v="Understock"/>
    <n v="1.9170333123821496E-2"/>
    <s v="Medium"/>
    <n v="115.72326324590165"/>
    <n v="0.33999358905866012"/>
    <s v="Under Utilized"/>
    <n v="0"/>
  </r>
  <r>
    <x v="102"/>
    <s v="South"/>
    <x v="1"/>
    <s v="Supplier C"/>
    <x v="2"/>
    <x v="2"/>
    <n v="355"/>
    <n v="3492"/>
    <n v="8471.5859930000006"/>
    <b v="1"/>
    <n v="22"/>
    <b v="0"/>
    <n v="19857.548220000001"/>
    <n v="2345.5"/>
    <n v="5230"/>
    <s v="Overstock"/>
    <n v="0.15135365593690045"/>
    <s v="Slow"/>
    <n v="23.86362251549296"/>
    <n v="0.44847036328871892"/>
    <s v="Optimal"/>
    <n v="0"/>
  </r>
  <r>
    <x v="103"/>
    <s v="South"/>
    <x v="2"/>
    <s v="Supplier B"/>
    <x v="0"/>
    <x v="2"/>
    <n v="418"/>
    <n v="1199"/>
    <n v="11338.93807"/>
    <b v="1"/>
    <n v="29"/>
    <b v="0"/>
    <n v="81285.663310000004"/>
    <n v="2070.5"/>
    <n v="5314"/>
    <s v="Understock"/>
    <n v="0.2018836029944458"/>
    <s v="Slow"/>
    <n v="27.126646100478471"/>
    <n v="0.38963116296575084"/>
    <s v="Under Utilized"/>
    <n v="0"/>
  </r>
  <r>
    <x v="104"/>
    <s v="South"/>
    <x v="0"/>
    <s v="Supplier A"/>
    <x v="2"/>
    <x v="1"/>
    <n v="761"/>
    <n v="2942"/>
    <n v="5446.6652240000003"/>
    <b v="1"/>
    <n v="15"/>
    <b v="0"/>
    <n v="29801.190719999999"/>
    <n v="2395.5"/>
    <n v="7334"/>
    <s v="Overstock"/>
    <n v="0.31767898142350243"/>
    <s v="Slow"/>
    <n v="7.1572473377135353"/>
    <n v="0.32662939732751567"/>
    <s v="Under Utilized"/>
    <n v="0"/>
  </r>
  <r>
    <x v="105"/>
    <s v="South"/>
    <x v="0"/>
    <s v="Supplier C"/>
    <x v="0"/>
    <x v="2"/>
    <n v="671"/>
    <n v="1849"/>
    <n v="10012.01964"/>
    <b v="1"/>
    <n v="7"/>
    <b v="0"/>
    <n v="35673.651530000003"/>
    <n v="1183.5"/>
    <n v="5453"/>
    <s v="Overstock"/>
    <n v="0.56696239966201945"/>
    <s v="Fast"/>
    <n v="14.921042682563339"/>
    <n v="0.2170364936732074"/>
    <s v="Under Utilized"/>
    <n v="0"/>
  </r>
  <r>
    <x v="106"/>
    <s v="East"/>
    <x v="0"/>
    <s v="Supplier B"/>
    <x v="0"/>
    <x v="0"/>
    <n v="257"/>
    <n v="518"/>
    <n v="2191.9922390000002"/>
    <b v="1"/>
    <n v="21"/>
    <b v="0"/>
    <n v="21007.895939999999"/>
    <n v="1331"/>
    <n v="8165"/>
    <s v="Understock"/>
    <n v="0.19308790383170549"/>
    <s v="Slow"/>
    <n v="8.5291526809338531"/>
    <n v="0.16301285976729946"/>
    <s v="Under Utilized"/>
    <n v="0"/>
  </r>
  <r>
    <x v="107"/>
    <s v="West"/>
    <x v="1"/>
    <s v="Supplier B"/>
    <x v="0"/>
    <x v="0"/>
    <n v="540"/>
    <n v="2144"/>
    <n v="12371.828750000001"/>
    <b v="1"/>
    <n v="26"/>
    <b v="0"/>
    <n v="60100.222650000003"/>
    <n v="1581.5"/>
    <n v="6730"/>
    <s v="Overstock"/>
    <n v="0.34144799241226681"/>
    <s v="Slow"/>
    <n v="22.910793981481483"/>
    <n v="0.2349925705794948"/>
    <s v="Under Utilized"/>
    <n v="0"/>
  </r>
  <r>
    <x v="108"/>
    <s v="East"/>
    <x v="0"/>
    <s v="Supplier A"/>
    <x v="0"/>
    <x v="0"/>
    <n v="315"/>
    <n v="1019"/>
    <n v="3254.02511"/>
    <b v="0"/>
    <n v="1"/>
    <b v="0"/>
    <n v="43448.260520000003"/>
    <n v="1533"/>
    <n v="7140"/>
    <s v="Understock"/>
    <n v="0.20547945205479451"/>
    <s v="Fast"/>
    <n v="10.330238444444445"/>
    <n v="0.21470588235294116"/>
    <s v="Under Utilized"/>
    <n v="0"/>
  </r>
  <r>
    <x v="109"/>
    <s v="West"/>
    <x v="3"/>
    <s v="Supplier C"/>
    <x v="2"/>
    <x v="0"/>
    <n v="50"/>
    <n v="2047"/>
    <n v="10308.846079999999"/>
    <b v="1"/>
    <n v="22"/>
    <b v="0"/>
    <n v="8349.5845370000006"/>
    <n v="2741.5"/>
    <n v="5329"/>
    <s v="Understock"/>
    <n v="1.8238190771475468E-2"/>
    <s v="Slow"/>
    <n v="206.17692160000001"/>
    <n v="0.51444924000750614"/>
    <s v="Optimal"/>
    <n v="0"/>
  </r>
  <r>
    <x v="110"/>
    <s v="South"/>
    <x v="2"/>
    <s v="Supplier B"/>
    <x v="0"/>
    <x v="1"/>
    <n v="477"/>
    <n v="3436"/>
    <n v="6348.7824229999997"/>
    <b v="0"/>
    <n v="26"/>
    <b v="0"/>
    <n v="18706.098539999999"/>
    <n v="2917.5"/>
    <n v="8781"/>
    <s v="Overstock"/>
    <n v="0.16349614395886888"/>
    <s v="Slow"/>
    <n v="13.309816400419287"/>
    <n v="0.33225145199863343"/>
    <s v="Under Utilized"/>
    <n v="0"/>
  </r>
  <r>
    <x v="111"/>
    <s v="West"/>
    <x v="2"/>
    <s v="Supplier B"/>
    <x v="0"/>
    <x v="0"/>
    <n v="162"/>
    <n v="2399"/>
    <n v="9314.0109489999995"/>
    <b v="1"/>
    <n v="29"/>
    <b v="0"/>
    <n v="15137.031660000001"/>
    <n v="1905"/>
    <n v="6743"/>
    <s v="Overstock"/>
    <n v="8.5039370078740156E-2"/>
    <s v="Slow"/>
    <n v="57.493894746913575"/>
    <n v="0.28251520094913246"/>
    <s v="Under Utilized"/>
    <n v="0"/>
  </r>
  <r>
    <x v="112"/>
    <s v="West"/>
    <x v="2"/>
    <s v="Supplier C"/>
    <x v="0"/>
    <x v="1"/>
    <n v="457"/>
    <n v="1411"/>
    <n v="9107.9044840000006"/>
    <b v="1"/>
    <n v="27"/>
    <b v="0"/>
    <n v="20222.103810000001"/>
    <n v="2458.5"/>
    <n v="5659"/>
    <s v="Understock"/>
    <n v="0.18588570266422616"/>
    <s v="Slow"/>
    <n v="19.929769111597377"/>
    <n v="0.43444071390705069"/>
    <s v="Optimal"/>
    <n v="0"/>
  </r>
  <r>
    <x v="113"/>
    <s v="North"/>
    <x v="1"/>
    <s v="Supplier B"/>
    <x v="0"/>
    <x v="0"/>
    <n v="839"/>
    <n v="3506"/>
    <n v="13280.44982"/>
    <b v="1"/>
    <n v="8"/>
    <b v="0"/>
    <n v="117430.329"/>
    <n v="4171"/>
    <n v="7261"/>
    <s v="Understock"/>
    <n v="0.20115080316470871"/>
    <s v="Medium"/>
    <n v="15.828903241954707"/>
    <n v="0.57443878253684066"/>
    <s v="Optimal"/>
    <n v="0"/>
  </r>
  <r>
    <x v="114"/>
    <s v="North"/>
    <x v="0"/>
    <s v="Supplier A"/>
    <x v="2"/>
    <x v="0"/>
    <n v="474"/>
    <n v="4836"/>
    <n v="4606.6767149999996"/>
    <b v="1"/>
    <n v="13"/>
    <b v="0"/>
    <n v="71082.843949999995"/>
    <n v="2572"/>
    <n v="5851"/>
    <s v="Overstock"/>
    <n v="0.18429237947122862"/>
    <s v="Medium"/>
    <n v="9.7187272468354422"/>
    <n v="0.43958297726884293"/>
    <s v="Optimal"/>
    <n v="0"/>
  </r>
  <r>
    <x v="115"/>
    <s v="South"/>
    <x v="3"/>
    <s v="Supplier B"/>
    <x v="2"/>
    <x v="0"/>
    <n v="275"/>
    <n v="308"/>
    <n v="523.21721950000006"/>
    <b v="1"/>
    <n v="20"/>
    <b v="0"/>
    <n v="41251.304620000003"/>
    <n v="2045"/>
    <n v="7363"/>
    <s v="Understock"/>
    <n v="0.13447432762836187"/>
    <s v="Slow"/>
    <n v="1.9026080709090911"/>
    <n v="0.27774005160939835"/>
    <s v="Under Utilized"/>
    <n v="0"/>
  </r>
  <r>
    <x v="116"/>
    <s v="West"/>
    <x v="0"/>
    <s v="Supplier A"/>
    <x v="1"/>
    <x v="2"/>
    <n v="663"/>
    <n v="3782"/>
    <n v="8532.564273"/>
    <b v="0"/>
    <n v="12"/>
    <b v="0"/>
    <n v="31865.254400000002"/>
    <n v="3834"/>
    <n v="5107"/>
    <s v="Understock"/>
    <n v="0.1729264475743349"/>
    <s v="Medium"/>
    <n v="12.869629371040723"/>
    <n v="0.75073428627374195"/>
    <s v="Optimal"/>
    <n v="0"/>
  </r>
  <r>
    <x v="117"/>
    <s v="North"/>
    <x v="0"/>
    <s v="Supplier A"/>
    <x v="2"/>
    <x v="0"/>
    <n v="888"/>
    <n v="3886"/>
    <n v="4635.5702970000002"/>
    <b v="1"/>
    <n v="16"/>
    <b v="0"/>
    <n v="119331.47560000001"/>
    <n v="2164.5"/>
    <n v="5585"/>
    <s v="Overstock"/>
    <n v="0.41025641025641024"/>
    <s v="Slow"/>
    <n v="5.2202368209459458"/>
    <n v="0.38755595344673233"/>
    <s v="Under Utilized"/>
    <n v="0"/>
  </r>
  <r>
    <x v="118"/>
    <s v="North"/>
    <x v="1"/>
    <s v="Supplier C"/>
    <x v="0"/>
    <x v="2"/>
    <n v="64"/>
    <n v="443"/>
    <n v="875.49301860000003"/>
    <b v="1"/>
    <n v="18"/>
    <b v="0"/>
    <n v="12210.9115"/>
    <n v="2718"/>
    <n v="7072"/>
    <s v="Understock"/>
    <n v="2.35467255334805E-2"/>
    <s v="Slow"/>
    <n v="13.679578415625"/>
    <n v="0.38433257918552038"/>
    <s v="Under Utilized"/>
    <n v="0"/>
  </r>
  <r>
    <x v="119"/>
    <s v="East"/>
    <x v="3"/>
    <s v="Supplier B"/>
    <x v="1"/>
    <x v="0"/>
    <n v="376"/>
    <n v="4993"/>
    <n v="4251.2235199999996"/>
    <b v="1"/>
    <n v="12"/>
    <b v="0"/>
    <n v="24751.959409999999"/>
    <n v="2810.5"/>
    <n v="9244"/>
    <s v="Overstock"/>
    <n v="0.13378402419498309"/>
    <s v="Medium"/>
    <n v="11.306445531914893"/>
    <n v="0.30403504976200779"/>
    <s v="Under Utilized"/>
    <n v="0"/>
  </r>
  <r>
    <x v="120"/>
    <s v="North"/>
    <x v="1"/>
    <s v="Supplier B"/>
    <x v="1"/>
    <x v="0"/>
    <n v="382"/>
    <n v="628"/>
    <n v="4771.7483279999997"/>
    <b v="1"/>
    <n v="1"/>
    <b v="0"/>
    <n v="25252.934860000001"/>
    <n v="753.5"/>
    <n v="6211"/>
    <s v="Understock"/>
    <n v="0.50696748506967482"/>
    <s v="Fast"/>
    <n v="12.491487769633506"/>
    <n v="0.12131701819352761"/>
    <s v="Under Utilized"/>
    <n v="0"/>
  </r>
  <r>
    <x v="121"/>
    <s v="South"/>
    <x v="2"/>
    <s v="Supplier D"/>
    <x v="2"/>
    <x v="0"/>
    <n v="383"/>
    <n v="879"/>
    <n v="7513.8505699999996"/>
    <b v="1"/>
    <n v="23"/>
    <b v="0"/>
    <n v="32229.00476"/>
    <n v="850.5"/>
    <n v="9069"/>
    <s v="Overstock"/>
    <n v="0.45032333921222811"/>
    <s v="Slow"/>
    <n v="19.618408798955613"/>
    <n v="9.3781012239497183E-2"/>
    <s v="Under Utilized"/>
    <n v="0"/>
  </r>
  <r>
    <x v="122"/>
    <s v="North"/>
    <x v="3"/>
    <s v="Supplier C"/>
    <x v="2"/>
    <x v="1"/>
    <n v="877"/>
    <n v="822"/>
    <n v="5100.6902650000002"/>
    <b v="1"/>
    <n v="6"/>
    <b v="0"/>
    <n v="68251.084969999996"/>
    <n v="1441.5"/>
    <n v="8675"/>
    <s v="Understock"/>
    <n v="0.60839403399236902"/>
    <s v="Fast"/>
    <n v="5.8160664367160777"/>
    <n v="0.1661671469740634"/>
    <s v="Under Utilized"/>
    <n v="0"/>
  </r>
  <r>
    <x v="123"/>
    <s v="South"/>
    <x v="0"/>
    <s v="Supplier C"/>
    <x v="2"/>
    <x v="0"/>
    <n v="58"/>
    <n v="2061"/>
    <n v="11378.94153"/>
    <b v="1"/>
    <n v="19"/>
    <b v="0"/>
    <n v="9267.6089539999994"/>
    <n v="2010.5"/>
    <n v="9898"/>
    <s v="Overstock"/>
    <n v="2.8848545138025365E-2"/>
    <s v="Slow"/>
    <n v="196.18864706896551"/>
    <n v="0.20312184279652454"/>
    <s v="Under Utilized"/>
    <n v="0"/>
  </r>
  <r>
    <x v="124"/>
    <s v="North"/>
    <x v="2"/>
    <s v="Supplier C"/>
    <x v="1"/>
    <x v="0"/>
    <n v="545"/>
    <n v="1960"/>
    <n v="11282.236500000001"/>
    <b v="0"/>
    <n v="16"/>
    <b v="0"/>
    <n v="63813.111100000002"/>
    <n v="3084.5"/>
    <n v="7987"/>
    <s v="Understock"/>
    <n v="0.1766899011184957"/>
    <s v="Slow"/>
    <n v="20.701351376146789"/>
    <n v="0.38619005884562413"/>
    <s v="Under Utilized"/>
    <n v="0"/>
  </r>
  <r>
    <x v="125"/>
    <s v="North"/>
    <x v="0"/>
    <s v="Supplier A"/>
    <x v="0"/>
    <x v="0"/>
    <n v="244"/>
    <n v="4209"/>
    <n v="3989.8830509999998"/>
    <b v="1"/>
    <n v="15"/>
    <b v="0"/>
    <n v="18097.823980000001"/>
    <n v="2998"/>
    <n v="7363"/>
    <s v="Overstock"/>
    <n v="8.1387591727818551E-2"/>
    <s v="Slow"/>
    <n v="16.351979717213116"/>
    <n v="0.40717099008556296"/>
    <s v="Optimal"/>
    <n v="0"/>
  </r>
  <r>
    <x v="126"/>
    <s v="East"/>
    <x v="3"/>
    <s v="Supplier D"/>
    <x v="1"/>
    <x v="2"/>
    <n v="382"/>
    <n v="1787"/>
    <n v="10243.654"/>
    <b v="1"/>
    <n v="27"/>
    <b v="1"/>
    <n v="19053.779119999999"/>
    <n v="1096.5"/>
    <n v="7479"/>
    <s v="Overstock"/>
    <n v="0.34838121295029639"/>
    <s v="Slow"/>
    <n v="26.815848167539269"/>
    <n v="0.14661050942639389"/>
    <s v="Under Utilized"/>
    <n v="1"/>
  </r>
  <r>
    <x v="127"/>
    <s v="South"/>
    <x v="2"/>
    <s v="Supplier B"/>
    <x v="2"/>
    <x v="0"/>
    <n v="65"/>
    <n v="406"/>
    <n v="10597.25527"/>
    <b v="1"/>
    <n v="7"/>
    <b v="0"/>
    <n v="2047.762455"/>
    <n v="1374.5"/>
    <n v="8898"/>
    <s v="Understock"/>
    <n v="4.7289923608584937E-2"/>
    <s v="Fast"/>
    <n v="163.03469646153846"/>
    <n v="0.15447291526185661"/>
    <s v="Under Utilized"/>
    <n v="0"/>
  </r>
  <r>
    <x v="128"/>
    <s v="South"/>
    <x v="2"/>
    <s v="Supplier C"/>
    <x v="0"/>
    <x v="2"/>
    <n v="904"/>
    <n v="2343"/>
    <n v="14699.317730000001"/>
    <b v="1"/>
    <n v="21"/>
    <b v="0"/>
    <n v="125130.874"/>
    <n v="2217.5"/>
    <n v="6187"/>
    <s v="Overstock"/>
    <n v="0.40766629086809469"/>
    <s v="Slow"/>
    <n v="16.260307223451328"/>
    <n v="0.35841280103442702"/>
    <s v="Under Utilized"/>
    <n v="0"/>
  </r>
  <r>
    <x v="129"/>
    <s v="North"/>
    <x v="2"/>
    <s v="Supplier D"/>
    <x v="1"/>
    <x v="0"/>
    <n v="185"/>
    <n v="2092"/>
    <n v="8025.8145569999997"/>
    <b v="0"/>
    <n v="21"/>
    <b v="0"/>
    <n v="23520.166020000001"/>
    <n v="2262"/>
    <n v="6782"/>
    <s v="Understock"/>
    <n v="8.1786030061892126E-2"/>
    <s v="Slow"/>
    <n v="43.382781389189191"/>
    <n v="0.33352993217340016"/>
    <s v="Under Utilized"/>
    <n v="0"/>
  </r>
  <r>
    <x v="130"/>
    <s v="North"/>
    <x v="0"/>
    <s v="Supplier A"/>
    <x v="0"/>
    <x v="2"/>
    <n v="606"/>
    <n v="2432"/>
    <n v="5377.7089889999997"/>
    <b v="1"/>
    <n v="27"/>
    <b v="0"/>
    <n v="115437.2154"/>
    <n v="2653.5"/>
    <n v="7648"/>
    <s v="Understock"/>
    <n v="0.2283776144714528"/>
    <s v="Slow"/>
    <n v="8.8741072425742562"/>
    <n v="0.34695345188284521"/>
    <s v="Under Utilized"/>
    <n v="0"/>
  </r>
  <r>
    <x v="131"/>
    <s v="North"/>
    <x v="2"/>
    <s v="Supplier C"/>
    <x v="1"/>
    <x v="0"/>
    <n v="500"/>
    <n v="2875"/>
    <n v="8604.8219840000002"/>
    <b v="1"/>
    <n v="14"/>
    <b v="0"/>
    <n v="57311.745029999998"/>
    <n v="1589"/>
    <n v="5854"/>
    <s v="Overstock"/>
    <n v="0.31466331025802391"/>
    <s v="Medium"/>
    <n v="17.209643968000002"/>
    <n v="0.2714383327639221"/>
    <s v="Under Utilized"/>
    <n v="0"/>
  </r>
  <r>
    <x v="132"/>
    <s v="East"/>
    <x v="0"/>
    <s v="Supplier B"/>
    <x v="1"/>
    <x v="0"/>
    <n v="646"/>
    <n v="303"/>
    <n v="14573.042729999999"/>
    <b v="1"/>
    <n v="23"/>
    <b v="0"/>
    <n v="60688.901030000001"/>
    <n v="2197.5"/>
    <n v="9854"/>
    <s v="Understock"/>
    <n v="0.29397042093287828"/>
    <s v="Slow"/>
    <n v="22.5588896749226"/>
    <n v="0.22300588593464582"/>
    <s v="Under Utilized"/>
    <n v="0"/>
  </r>
  <r>
    <x v="133"/>
    <s v="North"/>
    <x v="0"/>
    <s v="Supplier C"/>
    <x v="1"/>
    <x v="0"/>
    <n v="740"/>
    <n v="4092"/>
    <n v="9539.470104"/>
    <b v="1"/>
    <n v="22"/>
    <b v="0"/>
    <n v="100686.50780000001"/>
    <n v="3825.5"/>
    <n v="9893"/>
    <s v="Overstock"/>
    <n v="0.19343876617435629"/>
    <s v="Slow"/>
    <n v="12.891175816216217"/>
    <n v="0.38668755685838474"/>
    <s v="Under Utilized"/>
    <n v="0"/>
  </r>
  <r>
    <x v="134"/>
    <s v="East"/>
    <x v="2"/>
    <s v="Supplier B"/>
    <x v="1"/>
    <x v="0"/>
    <n v="949"/>
    <n v="3559"/>
    <n v="10861.15402"/>
    <b v="1"/>
    <n v="17"/>
    <b v="0"/>
    <n v="138418.82629999999"/>
    <n v="4091.5"/>
    <n v="6454"/>
    <s v="Understock"/>
    <n v="0.23194427471587437"/>
    <s v="Slow"/>
    <n v="11.44484090621707"/>
    <n v="0.63394793926247284"/>
    <s v="Optimal"/>
    <n v="0"/>
  </r>
  <r>
    <x v="135"/>
    <s v="South"/>
    <x v="3"/>
    <s v="Supplier D"/>
    <x v="2"/>
    <x v="0"/>
    <n v="224"/>
    <n v="4624"/>
    <n v="1389.4861800000001"/>
    <b v="1"/>
    <n v="8"/>
    <b v="1"/>
    <n v="5228.2721289999999"/>
    <n v="2914"/>
    <n v="5850"/>
    <s v="Overstock"/>
    <n v="7.6870281400137269E-2"/>
    <s v="Medium"/>
    <n v="6.2030633035714287"/>
    <n v="0.49811965811965814"/>
    <s v="Optimal"/>
    <n v="1"/>
  </r>
  <r>
    <x v="136"/>
    <s v="North"/>
    <x v="3"/>
    <s v="Supplier D"/>
    <x v="2"/>
    <x v="2"/>
    <n v="389"/>
    <n v="1204"/>
    <n v="7745.4068390000002"/>
    <b v="1"/>
    <n v="13"/>
    <b v="1"/>
    <n v="25455.232209999998"/>
    <n v="2057"/>
    <n v="8728"/>
    <s v="Understock"/>
    <n v="0.18911035488575595"/>
    <s v="Medium"/>
    <n v="19.9110715655527"/>
    <n v="0.23567827681026582"/>
    <s v="Under Utilized"/>
    <n v="1"/>
  </r>
  <r>
    <x v="137"/>
    <s v="East"/>
    <x v="3"/>
    <s v="Supplier D"/>
    <x v="1"/>
    <x v="0"/>
    <n v="171"/>
    <n v="2910"/>
    <n v="13085.516310000001"/>
    <b v="1"/>
    <n v="23"/>
    <b v="0"/>
    <n v="24087.478200000001"/>
    <n v="1883.5"/>
    <n v="6339"/>
    <s v="Overstock"/>
    <n v="9.0788425803026276E-2"/>
    <s v="Slow"/>
    <n v="76.523487192982458"/>
    <n v="0.2971288846821265"/>
    <s v="Under Utilized"/>
    <n v="0"/>
  </r>
  <r>
    <x v="138"/>
    <s v="North"/>
    <x v="0"/>
    <s v="Supplier A"/>
    <x v="0"/>
    <x v="0"/>
    <n v="569"/>
    <n v="857"/>
    <n v="13916.678819999999"/>
    <b v="1"/>
    <n v="29"/>
    <b v="0"/>
    <n v="31472.817760000002"/>
    <n v="2737.5"/>
    <n v="5027"/>
    <s v="Understock"/>
    <n v="0.20785388127853882"/>
    <s v="Slow"/>
    <n v="24.458135008787345"/>
    <n v="0.54455937935150189"/>
    <s v="Optimal"/>
    <n v="0"/>
  </r>
  <r>
    <x v="139"/>
    <s v="North"/>
    <x v="2"/>
    <s v="Supplier D"/>
    <x v="1"/>
    <x v="0"/>
    <n v="953"/>
    <n v="4618"/>
    <n v="3696.3493309999999"/>
    <b v="1"/>
    <n v="8"/>
    <b v="0"/>
    <n v="134277.5955"/>
    <n v="3135"/>
    <n v="9033"/>
    <s v="Overstock"/>
    <n v="0.30398724082934608"/>
    <s v="Medium"/>
    <n v="3.8786456778593914"/>
    <n v="0.34706077715044836"/>
    <s v="Under Utilized"/>
    <n v="0"/>
  </r>
  <r>
    <x v="140"/>
    <s v="West"/>
    <x v="1"/>
    <s v="Supplier D"/>
    <x v="1"/>
    <x v="0"/>
    <n v="116"/>
    <n v="1652"/>
    <n v="5228.5378209999999"/>
    <b v="1"/>
    <n v="16"/>
    <b v="0"/>
    <n v="17087.754140000001"/>
    <n v="3210.5"/>
    <n v="9458"/>
    <s v="Understock"/>
    <n v="3.6131443700358201E-2"/>
    <s v="Slow"/>
    <n v="45.07360190517241"/>
    <n v="0.33944808627616835"/>
    <s v="Under Utilized"/>
    <n v="0"/>
  </r>
  <r>
    <x v="141"/>
    <s v="South"/>
    <x v="0"/>
    <s v="Supplier C"/>
    <x v="2"/>
    <x v="0"/>
    <n v="196"/>
    <n v="4769"/>
    <n v="2174.835059"/>
    <b v="0"/>
    <n v="1"/>
    <b v="0"/>
    <n v="17215.479080000001"/>
    <n v="2721.5"/>
    <n v="6630"/>
    <s v="Overstock"/>
    <n v="7.2019107110049607E-2"/>
    <s v="Fast"/>
    <n v="11.096097239795919"/>
    <n v="0.41048265460030164"/>
    <s v="Optimal"/>
    <n v="0"/>
  </r>
  <r>
    <x v="142"/>
    <s v="East"/>
    <x v="3"/>
    <s v="Supplier A"/>
    <x v="2"/>
    <x v="2"/>
    <n v="398"/>
    <n v="674"/>
    <n v="3872.7560010000002"/>
    <b v="1"/>
    <n v="24"/>
    <b v="0"/>
    <n v="38998.083209999997"/>
    <n v="515.5"/>
    <n v="8218"/>
    <s v="Overstock"/>
    <n v="0.77206595538312317"/>
    <s v="Slow"/>
    <n v="9.7305427160804019"/>
    <n v="6.2728157702604037E-2"/>
    <s v="Under Utilized"/>
    <n v="0"/>
  </r>
  <r>
    <x v="143"/>
    <s v="West"/>
    <x v="1"/>
    <s v="Supplier A"/>
    <x v="0"/>
    <x v="0"/>
    <n v="638"/>
    <n v="357"/>
    <n v="12946.356400000001"/>
    <b v="1"/>
    <n v="3"/>
    <b v="0"/>
    <n v="71223.126940000002"/>
    <n v="1723.5"/>
    <n v="7533"/>
    <s v="Understock"/>
    <n v="0.37017696547722656"/>
    <s v="Fast"/>
    <n v="20.292094670846396"/>
    <n v="0.22879330943847073"/>
    <s v="Under Utilized"/>
    <n v="0"/>
  </r>
  <r>
    <x v="144"/>
    <s v="North"/>
    <x v="0"/>
    <s v="Supplier D"/>
    <x v="1"/>
    <x v="0"/>
    <n v="343"/>
    <n v="3090"/>
    <n v="5712.2370170000004"/>
    <b v="1"/>
    <n v="26"/>
    <b v="0"/>
    <n v="60128.564810000003"/>
    <n v="3784"/>
    <n v="9873"/>
    <s v="Understock"/>
    <n v="9.0644820295983086E-2"/>
    <s v="Slow"/>
    <n v="16.653752236151604"/>
    <n v="0.38326749721462577"/>
    <s v="Under Utilized"/>
    <n v="0"/>
  </r>
  <r>
    <x v="145"/>
    <s v="North"/>
    <x v="0"/>
    <s v="Supplier C"/>
    <x v="2"/>
    <x v="0"/>
    <n v="672"/>
    <n v="4478"/>
    <n v="1660.264911"/>
    <b v="1"/>
    <n v="25"/>
    <b v="0"/>
    <n v="121999.5297"/>
    <n v="2809"/>
    <n v="5235"/>
    <s v="Overstock"/>
    <n v="0.23923104307582771"/>
    <s v="Slow"/>
    <n v="2.4706323080357144"/>
    <n v="0.53658070678127989"/>
    <s v="Optimal"/>
    <n v="0"/>
  </r>
  <r>
    <x v="146"/>
    <s v="East"/>
    <x v="3"/>
    <s v="Supplier D"/>
    <x v="0"/>
    <x v="0"/>
    <n v="445"/>
    <n v="1140"/>
    <n v="11164.221159999999"/>
    <b v="1"/>
    <n v="15"/>
    <b v="0"/>
    <n v="27504.484639999999"/>
    <n v="1808"/>
    <n v="5405"/>
    <s v="Understock"/>
    <n v="0.2461283185840708"/>
    <s v="Slow"/>
    <n v="25.088137438202246"/>
    <n v="0.33450508788159111"/>
    <s v="Under Utilized"/>
    <n v="0"/>
  </r>
  <r>
    <x v="147"/>
    <s v="East"/>
    <x v="1"/>
    <s v="Supplier D"/>
    <x v="0"/>
    <x v="0"/>
    <n v="567"/>
    <n v="2476"/>
    <n v="11081.672420000001"/>
    <b v="1"/>
    <n v="24"/>
    <b v="1"/>
    <n v="75902.468959999998"/>
    <n v="1445"/>
    <n v="8444"/>
    <s v="Overstock"/>
    <n v="0.39238754325259517"/>
    <s v="Slow"/>
    <n v="19.544395802469136"/>
    <n v="0.17112742775935574"/>
    <s v="Under Utilized"/>
    <n v="1"/>
  </r>
  <r>
    <x v="148"/>
    <s v="North"/>
    <x v="1"/>
    <s v="Supplier A"/>
    <x v="2"/>
    <x v="0"/>
    <n v="84"/>
    <n v="414"/>
    <n v="13662.3866"/>
    <b v="0"/>
    <n v="24"/>
    <b v="0"/>
    <n v="11800.287420000001"/>
    <n v="2069.5"/>
    <n v="7826"/>
    <s v="Understock"/>
    <n v="4.0589514375453009E-2"/>
    <s v="Slow"/>
    <n v="162.64745952380952"/>
    <n v="0.26443904932277024"/>
    <s v="Under Utilized"/>
    <n v="0"/>
  </r>
  <r>
    <x v="149"/>
    <s v="South"/>
    <x v="2"/>
    <s v="Supplier D"/>
    <x v="2"/>
    <x v="1"/>
    <n v="78"/>
    <n v="3725"/>
    <n v="10304.28134"/>
    <b v="1"/>
    <n v="9"/>
    <b v="0"/>
    <n v="6624.8983410000001"/>
    <n v="2263.5"/>
    <n v="8484"/>
    <s v="Overstock"/>
    <n v="3.4459907223326709E-2"/>
    <s v="Medium"/>
    <n v="132.10617102564103"/>
    <n v="0.26679632248939178"/>
    <s v="Under Utilized"/>
    <n v="0"/>
  </r>
  <r>
    <x v="150"/>
    <s v="North"/>
    <x v="2"/>
    <s v="Supplier D"/>
    <x v="1"/>
    <x v="0"/>
    <n v="397"/>
    <n v="802"/>
    <n v="14416.8649"/>
    <b v="1"/>
    <n v="13"/>
    <b v="1"/>
    <n v="30631.812699999999"/>
    <n v="2045.5"/>
    <n v="7417"/>
    <s v="Understock"/>
    <n v="0.19408457589831338"/>
    <s v="Medium"/>
    <n v="36.314521158690177"/>
    <n v="0.27578535796143994"/>
    <s v="Under Utilized"/>
    <n v="1"/>
  </r>
  <r>
    <x v="151"/>
    <s v="North"/>
    <x v="0"/>
    <s v="Supplier D"/>
    <x v="2"/>
    <x v="0"/>
    <n v="827"/>
    <n v="3289"/>
    <n v="7339.6321200000002"/>
    <b v="1"/>
    <n v="23"/>
    <b v="0"/>
    <n v="88254.172810000004"/>
    <n v="1946"/>
    <n v="9645"/>
    <s v="Overstock"/>
    <n v="0.4249743062692703"/>
    <s v="Slow"/>
    <n v="8.8750086094316814"/>
    <n v="0.20176257128045619"/>
    <s v="Under Utilized"/>
    <n v="0"/>
  </r>
  <r>
    <x v="152"/>
    <s v="North"/>
    <x v="1"/>
    <s v="Supplier C"/>
    <x v="2"/>
    <x v="0"/>
    <n v="388"/>
    <n v="603"/>
    <n v="9596.0549869999995"/>
    <b v="1"/>
    <n v="19"/>
    <b v="0"/>
    <n v="29558.423460000002"/>
    <n v="1512.5"/>
    <n v="5524"/>
    <s v="Understock"/>
    <n v="0.2565289256198347"/>
    <s v="Slow"/>
    <n v="24.73210048195876"/>
    <n v="0.27380521361332366"/>
    <s v="Under Utilized"/>
    <n v="0"/>
  </r>
  <r>
    <x v="153"/>
    <s v="East"/>
    <x v="2"/>
    <s v="Supplier C"/>
    <x v="0"/>
    <x v="0"/>
    <n v="436"/>
    <n v="2422"/>
    <n v="11189.678739999999"/>
    <b v="1"/>
    <n v="17"/>
    <b v="0"/>
    <n v="47476.244619999998"/>
    <n v="2539"/>
    <n v="6719"/>
    <s v="Understock"/>
    <n v="0.17172115005907837"/>
    <s v="Slow"/>
    <n v="25.664400779816511"/>
    <n v="0.37788361363298112"/>
    <s v="Under Utilized"/>
    <n v="0"/>
  </r>
  <r>
    <x v="154"/>
    <s v="East"/>
    <x v="3"/>
    <s v="Supplier B"/>
    <x v="0"/>
    <x v="0"/>
    <n v="928"/>
    <n v="2656"/>
    <n v="8287.7101060000005"/>
    <b v="1"/>
    <n v="24"/>
    <b v="0"/>
    <n v="92476.783760000006"/>
    <n v="1802"/>
    <n v="8138"/>
    <s v="Overstock"/>
    <n v="0.51498335183129851"/>
    <s v="Slow"/>
    <n v="8.930722096982759"/>
    <n v="0.22143032686163677"/>
    <s v="Under Utilized"/>
    <n v="0"/>
  </r>
  <r>
    <x v="155"/>
    <s v="South"/>
    <x v="0"/>
    <s v="Supplier B"/>
    <x v="0"/>
    <x v="0"/>
    <n v="172"/>
    <n v="948"/>
    <n v="3536.556227"/>
    <b v="1"/>
    <n v="15"/>
    <b v="0"/>
    <n v="8522.0140479999991"/>
    <n v="1648"/>
    <n v="5571"/>
    <s v="Understock"/>
    <n v="0.10436893203883495"/>
    <s v="Slow"/>
    <n v="20.561373412790697"/>
    <n v="0.29581762699694847"/>
    <s v="Under Utilized"/>
    <n v="0"/>
  </r>
  <r>
    <x v="156"/>
    <s v="North"/>
    <x v="3"/>
    <s v="Supplier D"/>
    <x v="0"/>
    <x v="2"/>
    <n v="974"/>
    <n v="2348"/>
    <n v="11334.924000000001"/>
    <b v="1"/>
    <n v="7"/>
    <b v="0"/>
    <n v="160850.2078"/>
    <n v="1410"/>
    <n v="9802"/>
    <s v="Overstock"/>
    <n v="0.69078014184397163"/>
    <s v="Fast"/>
    <n v="11.637498973305956"/>
    <n v="0.14384819424607223"/>
    <s v="Under Utilized"/>
    <n v="0"/>
  </r>
  <r>
    <x v="157"/>
    <s v="East"/>
    <x v="2"/>
    <s v="Supplier A"/>
    <x v="0"/>
    <x v="0"/>
    <n v="832"/>
    <n v="472"/>
    <n v="9643.0624480000006"/>
    <b v="1"/>
    <n v="18"/>
    <b v="0"/>
    <n v="116670.2069"/>
    <n v="2312"/>
    <n v="8284"/>
    <s v="Understock"/>
    <n v="0.35986159169550175"/>
    <s v="Slow"/>
    <n v="11.590219288461538"/>
    <n v="0.27909222597778849"/>
    <s v="Under Utilized"/>
    <n v="0"/>
  </r>
  <r>
    <x v="158"/>
    <s v="South"/>
    <x v="1"/>
    <s v="Supplier A"/>
    <x v="0"/>
    <x v="2"/>
    <n v="939"/>
    <n v="4152"/>
    <n v="12892.7881"/>
    <b v="1"/>
    <n v="16"/>
    <b v="0"/>
    <n v="64415.745609999998"/>
    <n v="4094.5"/>
    <n v="9967"/>
    <s v="Overstock"/>
    <n v="0.22933203077298817"/>
    <s v="Slow"/>
    <n v="13.730338764643237"/>
    <n v="0.41080565867362295"/>
    <s v="Optimal"/>
    <n v="0"/>
  </r>
  <r>
    <x v="159"/>
    <s v="North"/>
    <x v="2"/>
    <s v="Supplier C"/>
    <x v="2"/>
    <x v="1"/>
    <n v="856"/>
    <n v="4037"/>
    <n v="1817.7098060000001"/>
    <b v="1"/>
    <n v="1"/>
    <b v="0"/>
    <n v="154058.046"/>
    <n v="3434"/>
    <n v="6779"/>
    <s v="Overstock"/>
    <n v="0.24927198602213163"/>
    <s v="Fast"/>
    <n v="2.1234927640186916"/>
    <n v="0.50656439002802778"/>
    <s v="Optimal"/>
    <n v="0"/>
  </r>
  <r>
    <x v="160"/>
    <s v="East"/>
    <x v="2"/>
    <s v="Supplier A"/>
    <x v="2"/>
    <x v="0"/>
    <n v="300"/>
    <n v="2831"/>
    <n v="941.63821700000005"/>
    <b v="1"/>
    <n v="14"/>
    <b v="0"/>
    <n v="6117.9411030000001"/>
    <n v="3503.5"/>
    <n v="5746"/>
    <s v="Understock"/>
    <n v="8.5628657057228483E-2"/>
    <s v="Medium"/>
    <n v="3.1387940566666668"/>
    <n v="0.60972850678733037"/>
    <s v="Optimal"/>
    <n v="0"/>
  </r>
  <r>
    <x v="161"/>
    <s v="North"/>
    <x v="0"/>
    <s v="Supplier C"/>
    <x v="0"/>
    <x v="0"/>
    <n v="379"/>
    <n v="4176"/>
    <n v="13174.58221"/>
    <b v="1"/>
    <n v="16"/>
    <b v="0"/>
    <n v="60206.953849999998"/>
    <n v="2636.5"/>
    <n v="6267"/>
    <s v="Overstock"/>
    <n v="0.14375118528351982"/>
    <s v="Slow"/>
    <n v="34.761430633245382"/>
    <n v="0.42069570767512365"/>
    <s v="Optimal"/>
    <n v="0"/>
  </r>
  <r>
    <x v="162"/>
    <s v="East"/>
    <x v="1"/>
    <s v="Supplier C"/>
    <x v="2"/>
    <x v="0"/>
    <n v="492"/>
    <n v="1097"/>
    <n v="3496.3261809999999"/>
    <b v="1"/>
    <n v="8"/>
    <b v="0"/>
    <n v="53742.184910000004"/>
    <n v="2764.5"/>
    <n v="5466"/>
    <s v="Understock"/>
    <n v="0.17797069994574063"/>
    <s v="Medium"/>
    <n v="7.106354026422764"/>
    <n v="0.50576289791437978"/>
    <s v="Optimal"/>
    <n v="0"/>
  </r>
  <r>
    <x v="163"/>
    <s v="West"/>
    <x v="1"/>
    <s v="Supplier A"/>
    <x v="2"/>
    <x v="0"/>
    <n v="529"/>
    <n v="4432"/>
    <n v="13885.946319999999"/>
    <b v="1"/>
    <n v="14"/>
    <b v="0"/>
    <n v="105765.3043"/>
    <n v="4633"/>
    <n v="9189"/>
    <s v="Understock"/>
    <n v="0.11418087632203755"/>
    <s v="Medium"/>
    <n v="26.249425935727785"/>
    <n v="0.50418979214277937"/>
    <s v="Optimal"/>
    <n v="0"/>
  </r>
  <r>
    <x v="164"/>
    <s v="South"/>
    <x v="0"/>
    <s v="Supplier C"/>
    <x v="2"/>
    <x v="2"/>
    <n v="102"/>
    <n v="4834"/>
    <n v="5558.6210410000003"/>
    <b v="1"/>
    <n v="14"/>
    <b v="0"/>
    <n v="6167.5648350000001"/>
    <n v="3055"/>
    <n v="8728"/>
    <s v="Overstock"/>
    <n v="3.3387888707037641E-2"/>
    <s v="Medium"/>
    <n v="54.496284715686279"/>
    <n v="0.35002291475710356"/>
    <s v="Under Utilized"/>
    <n v="0"/>
  </r>
  <r>
    <x v="165"/>
    <s v="North"/>
    <x v="2"/>
    <s v="Supplier D"/>
    <x v="2"/>
    <x v="0"/>
    <n v="603"/>
    <n v="1276"/>
    <n v="4550.5052690000002"/>
    <b v="1"/>
    <n v="1"/>
    <b v="0"/>
    <n v="114989.50019999999"/>
    <n v="2385"/>
    <n v="6320"/>
    <s v="Understock"/>
    <n v="0.25283018867924528"/>
    <s v="Fast"/>
    <n v="7.5464432321724715"/>
    <n v="0.377373417721519"/>
    <s v="Under Utilized"/>
    <n v="0"/>
  </r>
  <r>
    <x v="166"/>
    <s v="South"/>
    <x v="1"/>
    <s v="Supplier C"/>
    <x v="2"/>
    <x v="0"/>
    <n v="246"/>
    <n v="3494"/>
    <n v="8614.4444070000009"/>
    <b v="1"/>
    <n v="14"/>
    <b v="0"/>
    <n v="10127.311019999999"/>
    <n v="2072.5"/>
    <n v="5324"/>
    <s v="Overstock"/>
    <n v="0.11869722557297949"/>
    <s v="Medium"/>
    <n v="35.018066695121952"/>
    <n v="0.38927498121713"/>
    <s v="Under Utilized"/>
    <n v="0"/>
  </r>
  <r>
    <x v="167"/>
    <s v="North"/>
    <x v="3"/>
    <s v="Supplier A"/>
    <x v="1"/>
    <x v="1"/>
    <n v="776"/>
    <n v="651"/>
    <n v="4658.1197249999996"/>
    <b v="1"/>
    <n v="12"/>
    <b v="1"/>
    <n v="105723.9972"/>
    <n v="2795.5"/>
    <n v="5422"/>
    <s v="Understock"/>
    <n v="0.27758898229297085"/>
    <s v="Medium"/>
    <n v="6.0027316043814425"/>
    <n v="0.5155846551088159"/>
    <s v="Optimal"/>
    <n v="1"/>
  </r>
  <r>
    <x v="168"/>
    <s v="West"/>
    <x v="2"/>
    <s v="Supplier B"/>
    <x v="2"/>
    <x v="0"/>
    <n v="502"/>
    <n v="4940"/>
    <n v="10046.79413"/>
    <b v="1"/>
    <n v="29"/>
    <b v="0"/>
    <n v="33580.356370000001"/>
    <n v="4706"/>
    <n v="6398"/>
    <s v="Overstock"/>
    <n v="0.1066723331916702"/>
    <s v="Slow"/>
    <n v="20.013534123505977"/>
    <n v="0.73554235698655834"/>
    <s v="Optimal"/>
    <n v="0"/>
  </r>
  <r>
    <x v="169"/>
    <s v="East"/>
    <x v="3"/>
    <s v="Supplier C"/>
    <x v="1"/>
    <x v="0"/>
    <n v="465"/>
    <n v="4472"/>
    <n v="1021.503465"/>
    <b v="1"/>
    <n v="10"/>
    <b v="0"/>
    <n v="30409.144240000001"/>
    <n v="4034.5"/>
    <n v="6586"/>
    <s v="Overstock"/>
    <n v="0.11525591770975338"/>
    <s v="Medium"/>
    <n v="2.1967816451612903"/>
    <n v="0.61258730640753112"/>
    <s v="Optimal"/>
    <n v="0"/>
  </r>
  <r>
    <x v="170"/>
    <s v="North"/>
    <x v="0"/>
    <s v="Supplier B"/>
    <x v="0"/>
    <x v="0"/>
    <n v="711"/>
    <n v="3597"/>
    <n v="12696.055979999999"/>
    <b v="1"/>
    <n v="25"/>
    <b v="0"/>
    <n v="108893.1983"/>
    <n v="2553.5"/>
    <n v="9112"/>
    <s v="Overstock"/>
    <n v="0.27844135500293715"/>
    <s v="Slow"/>
    <n v="17.856618818565401"/>
    <n v="0.28023485513608426"/>
    <s v="Under Utilized"/>
    <n v="0"/>
  </r>
  <r>
    <x v="171"/>
    <s v="North"/>
    <x v="2"/>
    <s v="Supplier B"/>
    <x v="2"/>
    <x v="0"/>
    <n v="478"/>
    <n v="1510"/>
    <n v="14759.1147"/>
    <b v="1"/>
    <n v="28"/>
    <b v="0"/>
    <n v="93606.820179999995"/>
    <n v="1413"/>
    <n v="5235"/>
    <s v="Overstock"/>
    <n v="0.33828733191790517"/>
    <s v="Slow"/>
    <n v="30.8768089958159"/>
    <n v="0.26991404011461317"/>
    <s v="Under Utilized"/>
    <n v="0"/>
  </r>
  <r>
    <x v="172"/>
    <s v="East"/>
    <x v="2"/>
    <s v="Supplier A"/>
    <x v="0"/>
    <x v="1"/>
    <n v="314"/>
    <n v="1316"/>
    <n v="9311.4417950000006"/>
    <b v="1"/>
    <n v="9"/>
    <b v="0"/>
    <n v="59100.030200000001"/>
    <n v="1411.5"/>
    <n v="8438"/>
    <s v="Understock"/>
    <n v="0.222458377612469"/>
    <s v="Medium"/>
    <n v="29.65427323248408"/>
    <n v="0.16727897606067788"/>
    <s v="Under Utilized"/>
    <n v="0"/>
  </r>
  <r>
    <x v="173"/>
    <s v="South"/>
    <x v="1"/>
    <s v="Supplier B"/>
    <x v="1"/>
    <x v="0"/>
    <n v="482"/>
    <n v="1507"/>
    <n v="14462.89092"/>
    <b v="1"/>
    <n v="13"/>
    <b v="0"/>
    <n v="25780.315159999998"/>
    <n v="2860.5"/>
    <n v="5988"/>
    <s v="Understock"/>
    <n v="0.16850201013808774"/>
    <s v="Medium"/>
    <n v="30.0059977593361"/>
    <n v="0.47770541082164331"/>
    <s v="Optimal"/>
    <n v="0"/>
  </r>
  <r>
    <x v="174"/>
    <s v="South"/>
    <x v="2"/>
    <s v="Supplier B"/>
    <x v="2"/>
    <x v="0"/>
    <n v="680"/>
    <n v="4214"/>
    <n v="8102.5666060000003"/>
    <b v="1"/>
    <n v="21"/>
    <b v="0"/>
    <n v="19115.292829999999"/>
    <n v="3063"/>
    <n v="7611"/>
    <s v="Overstock"/>
    <n v="0.22200457068233759"/>
    <s v="Slow"/>
    <n v="11.915539126470589"/>
    <n v="0.40244383129680728"/>
    <s v="Optimal"/>
    <n v="0"/>
  </r>
  <r>
    <x v="175"/>
    <s v="West"/>
    <x v="0"/>
    <s v="Supplier C"/>
    <x v="0"/>
    <x v="0"/>
    <n v="228"/>
    <n v="1912"/>
    <n v="2605.7627889999999"/>
    <b v="1"/>
    <n v="27"/>
    <b v="0"/>
    <n v="25023.919099999999"/>
    <n v="2800"/>
    <n v="8058"/>
    <s v="Understock"/>
    <n v="8.1428571428571433E-2"/>
    <s v="Slow"/>
    <n v="11.428784162280701"/>
    <n v="0.34748076445768183"/>
    <s v="Under Utilized"/>
    <n v="0"/>
  </r>
  <r>
    <x v="176"/>
    <s v="South"/>
    <x v="2"/>
    <s v="Supplier A"/>
    <x v="2"/>
    <x v="0"/>
    <n v="269"/>
    <n v="3688"/>
    <n v="6464.2892099999999"/>
    <b v="1"/>
    <n v="15"/>
    <b v="0"/>
    <n v="19097.934860000001"/>
    <n v="1971.5"/>
    <n v="6910"/>
    <s v="Overstock"/>
    <n v="0.13644433172711135"/>
    <s v="Slow"/>
    <n v="24.030814907063196"/>
    <n v="0.28531114327062229"/>
    <s v="Under Utilized"/>
    <n v="0"/>
  </r>
  <r>
    <x v="177"/>
    <s v="South"/>
    <x v="3"/>
    <s v="Supplier C"/>
    <x v="2"/>
    <x v="0"/>
    <n v="273"/>
    <n v="255"/>
    <n v="13424.05207"/>
    <b v="1"/>
    <n v="15"/>
    <b v="0"/>
    <n v="6963.9540900000002"/>
    <n v="2237.5"/>
    <n v="5600"/>
    <s v="Understock"/>
    <n v="0.12201117318435754"/>
    <s v="Slow"/>
    <n v="49.172351904761904"/>
    <n v="0.39955357142857145"/>
    <s v="Under Utilized"/>
    <n v="0"/>
  </r>
  <r>
    <x v="178"/>
    <s v="North"/>
    <x v="1"/>
    <s v="Supplier C"/>
    <x v="2"/>
    <x v="2"/>
    <n v="461"/>
    <n v="4220"/>
    <n v="6933.6709819999996"/>
    <b v="1"/>
    <n v="20"/>
    <b v="0"/>
    <n v="71660.217090000006"/>
    <n v="2506.5"/>
    <n v="7430"/>
    <s v="Overstock"/>
    <n v="0.18392180331139038"/>
    <s v="Slow"/>
    <n v="15.040501045553144"/>
    <n v="0.33734858681022878"/>
    <s v="Under Utilized"/>
    <n v="0"/>
  </r>
  <r>
    <x v="179"/>
    <s v="East"/>
    <x v="0"/>
    <s v="Supplier C"/>
    <x v="2"/>
    <x v="0"/>
    <n v="728"/>
    <n v="793"/>
    <n v="6135.7838849999998"/>
    <b v="1"/>
    <n v="27"/>
    <b v="0"/>
    <n v="51889.522940000003"/>
    <n v="1713"/>
    <n v="7083"/>
    <s v="Understock"/>
    <n v="0.42498540572095739"/>
    <s v="Slow"/>
    <n v="8.4282745673076924"/>
    <n v="0.24184667513765354"/>
    <s v="Under Utilized"/>
    <n v="0"/>
  </r>
  <r>
    <x v="180"/>
    <s v="North"/>
    <x v="1"/>
    <s v="Supplier C"/>
    <x v="1"/>
    <x v="2"/>
    <n v="959"/>
    <n v="2633"/>
    <n v="3954.036814"/>
    <b v="1"/>
    <n v="4"/>
    <b v="0"/>
    <n v="144262.03899999999"/>
    <n v="3088"/>
    <n v="7394"/>
    <s v="Understock"/>
    <n v="0.31055699481865284"/>
    <s v="Fast"/>
    <n v="4.1230832262773722"/>
    <n v="0.41763592101704083"/>
    <s v="Optimal"/>
    <n v="0"/>
  </r>
  <r>
    <x v="181"/>
    <s v="West"/>
    <x v="0"/>
    <s v="Supplier D"/>
    <x v="0"/>
    <x v="2"/>
    <n v="912"/>
    <n v="3543"/>
    <n v="10736.78636"/>
    <b v="1"/>
    <n v="3"/>
    <b v="0"/>
    <n v="70992.996610000002"/>
    <n v="2312.5"/>
    <n v="8164"/>
    <s v="Overstock"/>
    <n v="0.39437837837837836"/>
    <s v="Fast"/>
    <n v="11.772792061403509"/>
    <n v="0.28325575698187161"/>
    <s v="Under Utilized"/>
    <n v="0"/>
  </r>
  <r>
    <x v="182"/>
    <s v="East"/>
    <x v="2"/>
    <s v="Supplier B"/>
    <x v="2"/>
    <x v="0"/>
    <n v="193"/>
    <n v="1082"/>
    <n v="1454.0741579999999"/>
    <b v="1"/>
    <n v="13"/>
    <b v="0"/>
    <n v="28964.763800000001"/>
    <n v="2245.5"/>
    <n v="8447"/>
    <s v="Understock"/>
    <n v="8.5949677132041866E-2"/>
    <s v="Medium"/>
    <n v="7.5340629948186519"/>
    <n v="0.26583402391381555"/>
    <s v="Under Utilized"/>
    <n v="0"/>
  </r>
  <r>
    <x v="183"/>
    <s v="South"/>
    <x v="3"/>
    <s v="Supplier B"/>
    <x v="1"/>
    <x v="0"/>
    <n v="812"/>
    <n v="3409"/>
    <n v="4515.8419629999999"/>
    <b v="1"/>
    <n v="14"/>
    <b v="1"/>
    <n v="54459.802810000001"/>
    <n v="3842"/>
    <n v="6754"/>
    <s v="Understock"/>
    <n v="0.21134825611660593"/>
    <s v="Medium"/>
    <n v="5.5613817278325124"/>
    <n v="0.56884809002072845"/>
    <s v="Optimal"/>
    <n v="1"/>
  </r>
  <r>
    <x v="184"/>
    <s v="South"/>
    <x v="3"/>
    <s v="Supplier C"/>
    <x v="1"/>
    <x v="0"/>
    <n v="616"/>
    <n v="4275"/>
    <n v="2873.2971240000002"/>
    <b v="1"/>
    <n v="28"/>
    <b v="0"/>
    <n v="69478.360140000004"/>
    <n v="4298.5"/>
    <n v="5608"/>
    <s v="Understock"/>
    <n v="0.14330580435035478"/>
    <s v="Slow"/>
    <n v="4.6644433831168834"/>
    <n v="0.76649429386590584"/>
    <s v="Optimal"/>
    <n v="0"/>
  </r>
  <r>
    <x v="185"/>
    <s v="North"/>
    <x v="3"/>
    <s v="Supplier A"/>
    <x v="2"/>
    <x v="2"/>
    <n v="134"/>
    <n v="4322"/>
    <n v="12632.580449999999"/>
    <b v="1"/>
    <n v="24"/>
    <b v="0"/>
    <n v="6893.7550810000002"/>
    <n v="2256.5"/>
    <n v="8286"/>
    <s v="Overstock"/>
    <n v="5.9384001772656771E-2"/>
    <s v="Slow"/>
    <n v="94.272988432835817"/>
    <n v="0.27232681631667871"/>
    <s v="Under Utilized"/>
    <n v="0"/>
  </r>
  <r>
    <x v="186"/>
    <s v="East"/>
    <x v="1"/>
    <s v="Supplier D"/>
    <x v="2"/>
    <x v="0"/>
    <n v="234"/>
    <n v="191"/>
    <n v="7639.8255079999999"/>
    <b v="1"/>
    <n v="8"/>
    <b v="0"/>
    <n v="39719.125249999997"/>
    <n v="1278.5"/>
    <n v="8552"/>
    <s v="Understock"/>
    <n v="0.18302698474775128"/>
    <s v="Medium"/>
    <n v="32.648826957264959"/>
    <n v="0.14949719363891487"/>
    <s v="Under Utilized"/>
    <n v="0"/>
  </r>
  <r>
    <x v="187"/>
    <s v="South"/>
    <x v="3"/>
    <s v="Supplier B"/>
    <x v="1"/>
    <x v="0"/>
    <n v="552"/>
    <n v="2366"/>
    <n v="4393.3212999999996"/>
    <b v="1"/>
    <n v="25"/>
    <b v="0"/>
    <n v="12873.90993"/>
    <n v="3245.5"/>
    <n v="8709"/>
    <s v="Understock"/>
    <n v="0.17008165151748575"/>
    <s v="Slow"/>
    <n v="7.9589153985507242"/>
    <n v="0.37266046618440696"/>
    <s v="Under Utilized"/>
    <n v="0"/>
  </r>
  <r>
    <x v="188"/>
    <s v="North"/>
    <x v="1"/>
    <s v="Supplier C"/>
    <x v="1"/>
    <x v="0"/>
    <n v="74"/>
    <n v="4125"/>
    <n v="2129.5960180000002"/>
    <b v="1"/>
    <n v="8"/>
    <b v="1"/>
    <n v="10224.20061"/>
    <n v="3036.5"/>
    <n v="8043"/>
    <s v="Overstock"/>
    <n v="2.4370163016630988E-2"/>
    <s v="Medium"/>
    <n v="28.778324567567569"/>
    <n v="0.3775332587343031"/>
    <s v="Under Utilized"/>
    <n v="1"/>
  </r>
  <r>
    <x v="189"/>
    <s v="North"/>
    <x v="2"/>
    <s v="Supplier D"/>
    <x v="2"/>
    <x v="0"/>
    <n v="475"/>
    <n v="1948"/>
    <n v="14571.35896"/>
    <b v="1"/>
    <n v="21"/>
    <b v="0"/>
    <n v="16265.554249999999"/>
    <n v="1154.5"/>
    <n v="8781"/>
    <s v="Overstock"/>
    <n v="0.41143352100476399"/>
    <s v="Slow"/>
    <n v="30.676545178947368"/>
    <n v="0.13147705272747978"/>
    <s v="Under Utilized"/>
    <n v="0"/>
  </r>
  <r>
    <x v="190"/>
    <s v="West"/>
    <x v="2"/>
    <s v="Supplier A"/>
    <x v="2"/>
    <x v="2"/>
    <n v="183"/>
    <n v="361"/>
    <n v="6384.275337"/>
    <b v="1"/>
    <n v="11"/>
    <b v="0"/>
    <n v="28434.926289999999"/>
    <n v="1899"/>
    <n v="9152"/>
    <s v="Understock"/>
    <n v="9.6366508688783575E-2"/>
    <s v="Medium"/>
    <n v="34.886750475409833"/>
    <n v="0.20749562937062938"/>
    <s v="Under Utilized"/>
    <n v="0"/>
  </r>
  <r>
    <x v="191"/>
    <s v="West"/>
    <x v="3"/>
    <s v="Supplier B"/>
    <x v="0"/>
    <x v="2"/>
    <n v="432"/>
    <n v="3437"/>
    <n v="5716.9464939999998"/>
    <b v="1"/>
    <n v="22"/>
    <b v="0"/>
    <n v="12098.546200000001"/>
    <n v="3706"/>
    <n v="9428"/>
    <s v="Understock"/>
    <n v="0.11656772800863464"/>
    <s v="Slow"/>
    <n v="13.233672439814814"/>
    <n v="0.39308442935935511"/>
    <s v="Under Utilized"/>
    <n v="0"/>
  </r>
  <r>
    <x v="192"/>
    <s v="North"/>
    <x v="0"/>
    <s v="Supplier D"/>
    <x v="1"/>
    <x v="0"/>
    <n v="221"/>
    <n v="3975"/>
    <n v="9633.1498030000002"/>
    <b v="1"/>
    <n v="13"/>
    <b v="0"/>
    <n v="28738.20566"/>
    <n v="4045.5"/>
    <n v="7090"/>
    <s v="Understock"/>
    <n v="5.4628599678655299E-2"/>
    <s v="Medium"/>
    <n v="43.588913135746608"/>
    <n v="0.57059238363892806"/>
    <s v="Optimal"/>
    <n v="0"/>
  </r>
  <r>
    <x v="193"/>
    <s v="West"/>
    <x v="1"/>
    <s v="Supplier B"/>
    <x v="1"/>
    <x v="0"/>
    <n v="499"/>
    <n v="4116"/>
    <n v="11049.66401"/>
    <b v="0"/>
    <n v="1"/>
    <b v="1"/>
    <n v="45364.073850000001"/>
    <n v="3921"/>
    <n v="5762"/>
    <s v="Overstock"/>
    <n v="0.12726345320071411"/>
    <s v="Fast"/>
    <n v="22.143615250501004"/>
    <n v="0.68049288441513367"/>
    <s v="Optimal"/>
    <n v="1"/>
  </r>
  <r>
    <x v="194"/>
    <s v="North"/>
    <x v="2"/>
    <s v="Supplier C"/>
    <x v="1"/>
    <x v="0"/>
    <n v="71"/>
    <n v="3726"/>
    <n v="11369.40712"/>
    <b v="1"/>
    <n v="16"/>
    <b v="1"/>
    <n v="7708.7592240000004"/>
    <n v="2135.5"/>
    <n v="5486"/>
    <s v="Overstock"/>
    <n v="3.3247483025052683E-2"/>
    <s v="Slow"/>
    <n v="160.13249464788731"/>
    <n v="0.38926358002187383"/>
    <s v="Under Utilized"/>
    <n v="1"/>
  </r>
  <r>
    <x v="195"/>
    <s v="North"/>
    <x v="2"/>
    <s v="Supplier A"/>
    <x v="0"/>
    <x v="2"/>
    <n v="654"/>
    <n v="545"/>
    <n v="8331.1501680000001"/>
    <b v="1"/>
    <n v="13"/>
    <b v="0"/>
    <n v="30162.43578"/>
    <n v="2100"/>
    <n v="5530"/>
    <s v="Understock"/>
    <n v="0.31142857142857144"/>
    <s v="Medium"/>
    <n v="12.738761724770642"/>
    <n v="0.379746835443038"/>
    <s v="Under Utilized"/>
    <n v="0"/>
  </r>
  <r>
    <x v="196"/>
    <s v="North"/>
    <x v="1"/>
    <s v="Supplier D"/>
    <x v="0"/>
    <x v="0"/>
    <n v="147"/>
    <n v="3655"/>
    <n v="9519.1332380000003"/>
    <b v="1"/>
    <n v="5"/>
    <b v="0"/>
    <n v="23664.03975"/>
    <n v="2974.5"/>
    <n v="9492"/>
    <s v="Overstock"/>
    <n v="4.9420070600100854E-2"/>
    <s v="Fast"/>
    <n v="64.756008421768712"/>
    <n v="0.31336915297092288"/>
    <s v="Under Utilized"/>
    <n v="0"/>
  </r>
  <r>
    <x v="197"/>
    <s v="North"/>
    <x v="1"/>
    <s v="Supplier D"/>
    <x v="0"/>
    <x v="0"/>
    <n v="930"/>
    <n v="2294"/>
    <n v="11429.638929999999"/>
    <b v="0"/>
    <n v="27"/>
    <b v="0"/>
    <n v="99302.455050000004"/>
    <n v="2880.5"/>
    <n v="9025"/>
    <s v="Understock"/>
    <n v="0.32286061447665337"/>
    <s v="Slow"/>
    <n v="12.289934333333333"/>
    <n v="0.31916897506925207"/>
    <s v="Under Utilized"/>
    <n v="0"/>
  </r>
  <r>
    <x v="198"/>
    <s v="East"/>
    <x v="3"/>
    <s v="Supplier D"/>
    <x v="2"/>
    <x v="0"/>
    <n v="245"/>
    <n v="3467"/>
    <n v="9924.3054229999998"/>
    <b v="1"/>
    <n v="19"/>
    <b v="1"/>
    <n v="42674.657469999998"/>
    <n v="3541.5"/>
    <n v="8186"/>
    <s v="Understock"/>
    <n v="6.9179726104757866E-2"/>
    <s v="Slow"/>
    <n v="40.507369073469384"/>
    <n v="0.43262887857317373"/>
    <s v="Optimal"/>
    <n v="1"/>
  </r>
  <r>
    <x v="199"/>
    <s v="South"/>
    <x v="2"/>
    <s v="Supplier D"/>
    <x v="2"/>
    <x v="1"/>
    <n v="771"/>
    <n v="3616"/>
    <n v="8432.4133679999995"/>
    <b v="0"/>
    <n v="8"/>
    <b v="0"/>
    <n v="126241.5082"/>
    <n v="3291.5"/>
    <n v="8621"/>
    <s v="Overstock"/>
    <n v="0.23423970833966276"/>
    <s v="Medium"/>
    <n v="10.936982319066146"/>
    <n v="0.38180025519081312"/>
    <s v="Under Utilized"/>
    <n v="0"/>
  </r>
  <r>
    <x v="200"/>
    <s v="East"/>
    <x v="2"/>
    <s v="Supplier D"/>
    <x v="1"/>
    <x v="1"/>
    <n v="940"/>
    <n v="2967"/>
    <n v="12048.550660000001"/>
    <b v="0"/>
    <n v="4"/>
    <b v="0"/>
    <n v="43387.544410000002"/>
    <n v="2796.5"/>
    <n v="5434"/>
    <s v="Overstock"/>
    <n v="0.33613445378151263"/>
    <s v="Fast"/>
    <n v="12.817607085106383"/>
    <n v="0.51463010673536991"/>
    <s v="Optimal"/>
    <n v="0"/>
  </r>
  <r>
    <x v="201"/>
    <s v="West"/>
    <x v="3"/>
    <s v="Supplier D"/>
    <x v="0"/>
    <x v="0"/>
    <n v="629"/>
    <n v="2626"/>
    <n v="7011.709194"/>
    <b v="1"/>
    <n v="26"/>
    <b v="0"/>
    <n v="80951.065990000003"/>
    <n v="3185.5"/>
    <n v="5191"/>
    <s v="Understock"/>
    <n v="0.19745722806466803"/>
    <s v="Slow"/>
    <n v="11.147391405405406"/>
    <n v="0.61365825467154689"/>
    <s v="Optimal"/>
    <n v="0"/>
  </r>
  <r>
    <x v="202"/>
    <s v="West"/>
    <x v="0"/>
    <s v="Supplier A"/>
    <x v="1"/>
    <x v="2"/>
    <n v="572"/>
    <n v="3745"/>
    <n v="3685.390934"/>
    <b v="1"/>
    <n v="27"/>
    <b v="0"/>
    <n v="14015.56004"/>
    <n v="3487"/>
    <n v="8556"/>
    <s v="Overstock"/>
    <n v="0.16403785488958991"/>
    <s v="Slow"/>
    <n v="6.4429911433566431"/>
    <n v="0.40755025712949977"/>
    <s v="Optimal"/>
    <n v="0"/>
  </r>
  <r>
    <x v="203"/>
    <s v="North"/>
    <x v="1"/>
    <s v="Supplier D"/>
    <x v="2"/>
    <x v="0"/>
    <n v="427"/>
    <n v="3229"/>
    <n v="11031.40076"/>
    <b v="1"/>
    <n v="6"/>
    <b v="0"/>
    <n v="51030.541169999997"/>
    <n v="3746.5"/>
    <n v="8125"/>
    <s v="Understock"/>
    <n v="0.11397304150540505"/>
    <s v="Fast"/>
    <n v="25.834662201405152"/>
    <n v="0.46110769230769233"/>
    <s v="Optimal"/>
    <n v="0"/>
  </r>
  <r>
    <x v="204"/>
    <s v="North"/>
    <x v="3"/>
    <s v="Supplier C"/>
    <x v="0"/>
    <x v="0"/>
    <n v="656"/>
    <n v="4264"/>
    <n v="14225.67931"/>
    <b v="1"/>
    <n v="15"/>
    <b v="0"/>
    <n v="128945.4464"/>
    <n v="2766"/>
    <n v="5515"/>
    <s v="Overstock"/>
    <n v="0.23716558206796817"/>
    <s v="Slow"/>
    <n v="21.685486753048778"/>
    <n v="0.50154125113327286"/>
    <s v="Optimal"/>
    <n v="0"/>
  </r>
  <r>
    <x v="205"/>
    <s v="West"/>
    <x v="2"/>
    <s v="Supplier A"/>
    <x v="1"/>
    <x v="0"/>
    <n v="413"/>
    <n v="1268"/>
    <n v="4290.26109"/>
    <b v="1"/>
    <n v="26"/>
    <b v="0"/>
    <n v="47247.567990000003"/>
    <n v="2756"/>
    <n v="6662"/>
    <s v="Understock"/>
    <n v="0.14985486211901305"/>
    <s v="Slow"/>
    <n v="10.388041380145278"/>
    <n v="0.41368958270789552"/>
    <s v="Optimal"/>
    <n v="0"/>
  </r>
  <r>
    <x v="206"/>
    <s v="West"/>
    <x v="2"/>
    <s v="Supplier D"/>
    <x v="2"/>
    <x v="0"/>
    <n v="978"/>
    <n v="4244"/>
    <n v="5670.8292369999999"/>
    <b v="1"/>
    <n v="28"/>
    <b v="0"/>
    <n v="148307.55319999999"/>
    <n v="2214"/>
    <n v="7395"/>
    <s v="Overstock"/>
    <n v="0.44173441734417346"/>
    <s v="Slow"/>
    <n v="5.7983939028629852"/>
    <n v="0.29939148073022315"/>
    <s v="Under Utilized"/>
    <n v="0"/>
  </r>
  <r>
    <x v="207"/>
    <s v="South"/>
    <x v="3"/>
    <s v="Supplier B"/>
    <x v="1"/>
    <x v="0"/>
    <n v="235"/>
    <n v="184"/>
    <n v="12853.554179999999"/>
    <b v="1"/>
    <n v="14"/>
    <b v="0"/>
    <n v="11702.375620000001"/>
    <n v="1716.5"/>
    <n v="6542"/>
    <s v="Understock"/>
    <n v="0.13690649577628897"/>
    <s v="Medium"/>
    <n v="54.69597523404255"/>
    <n v="0.26238153469886882"/>
    <s v="Under Utilized"/>
    <n v="0"/>
  </r>
  <r>
    <x v="208"/>
    <s v="West"/>
    <x v="2"/>
    <s v="Supplier A"/>
    <x v="0"/>
    <x v="0"/>
    <n v="470"/>
    <n v="3249"/>
    <n v="10683.7122"/>
    <b v="1"/>
    <n v="20"/>
    <b v="0"/>
    <n v="81416.414000000004"/>
    <n v="3581.5"/>
    <n v="6135"/>
    <s v="Understock"/>
    <n v="0.13122993159290799"/>
    <s v="Slow"/>
    <n v="22.73130255319149"/>
    <n v="0.58378158109209455"/>
    <s v="Optimal"/>
    <n v="0"/>
  </r>
  <r>
    <x v="209"/>
    <s v="South"/>
    <x v="3"/>
    <s v="Supplier D"/>
    <x v="2"/>
    <x v="0"/>
    <n v="471"/>
    <n v="3914"/>
    <n v="7557.8902010000002"/>
    <b v="1"/>
    <n v="5"/>
    <b v="0"/>
    <n v="32127.892360000002"/>
    <n v="2447"/>
    <n v="5442"/>
    <s v="Overstock"/>
    <n v="0.1924805884756845"/>
    <s v="Fast"/>
    <n v="16.046476010615713"/>
    <n v="0.44965086365306872"/>
    <s v="Optimal"/>
    <n v="0"/>
  </r>
  <r>
    <x v="210"/>
    <s v="West"/>
    <x v="1"/>
    <s v="Supplier B"/>
    <x v="2"/>
    <x v="0"/>
    <n v="797"/>
    <n v="980"/>
    <n v="14248.878350000001"/>
    <b v="1"/>
    <n v="3"/>
    <b v="0"/>
    <n v="158947.94149999999"/>
    <n v="1148"/>
    <n v="6090"/>
    <s v="Understock"/>
    <n v="0.69425087108013939"/>
    <s v="Fast"/>
    <n v="17.878140966122963"/>
    <n v="0.18850574712643678"/>
    <s v="Under Utilized"/>
    <n v="0"/>
  </r>
  <r>
    <x v="211"/>
    <s v="South"/>
    <x v="3"/>
    <s v="Supplier A"/>
    <x v="2"/>
    <x v="0"/>
    <n v="771"/>
    <n v="1316"/>
    <n v="13306.29927"/>
    <b v="1"/>
    <n v="9"/>
    <b v="0"/>
    <n v="28586.157510000001"/>
    <n v="2077"/>
    <n v="7157"/>
    <s v="Understock"/>
    <n v="0.37120847376023108"/>
    <s v="Medium"/>
    <n v="17.258494513618675"/>
    <n v="0.29020539332122397"/>
    <s v="Under Utilized"/>
    <n v="0"/>
  </r>
  <r>
    <x v="212"/>
    <s v="West"/>
    <x v="3"/>
    <s v="Supplier A"/>
    <x v="1"/>
    <x v="0"/>
    <n v="732"/>
    <n v="2838"/>
    <n v="10521.03512"/>
    <b v="1"/>
    <n v="16"/>
    <b v="0"/>
    <n v="57999.240449999998"/>
    <n v="2202.5"/>
    <n v="6317"/>
    <s v="Overstock"/>
    <n v="0.33234960272417707"/>
    <s v="Slow"/>
    <n v="14.372998797814208"/>
    <n v="0.34866233971822069"/>
    <s v="Under Utilized"/>
    <n v="0"/>
  </r>
  <r>
    <x v="213"/>
    <s v="West"/>
    <x v="2"/>
    <s v="Supplier A"/>
    <x v="0"/>
    <x v="0"/>
    <n v="184"/>
    <n v="1567"/>
    <n v="14737.508529999999"/>
    <b v="1"/>
    <n v="11"/>
    <b v="0"/>
    <n v="35130.823109999998"/>
    <n v="1524"/>
    <n v="8266"/>
    <s v="Overstock"/>
    <n v="0.12073490813648294"/>
    <s v="Medium"/>
    <n v="80.095155054347828"/>
    <n v="0.18436970723445439"/>
    <s v="Under Utilized"/>
    <n v="0"/>
  </r>
  <r>
    <x v="214"/>
    <s v="South"/>
    <x v="1"/>
    <s v="Supplier B"/>
    <x v="0"/>
    <x v="0"/>
    <n v="308"/>
    <n v="1481"/>
    <n v="10435.42108"/>
    <b v="1"/>
    <n v="8"/>
    <b v="0"/>
    <n v="26438.373009999999"/>
    <n v="2771"/>
    <n v="6634"/>
    <s v="Understock"/>
    <n v="0.1111512089498376"/>
    <s v="Medium"/>
    <n v="33.881237272727276"/>
    <n v="0.4176967138981007"/>
    <s v="Optimal"/>
    <n v="0"/>
  </r>
  <r>
    <x v="215"/>
    <s v="West"/>
    <x v="2"/>
    <s v="Supplier A"/>
    <x v="0"/>
    <x v="0"/>
    <n v="323"/>
    <n v="4061"/>
    <n v="3840.728537"/>
    <b v="1"/>
    <n v="28"/>
    <b v="0"/>
    <n v="40092.964390000001"/>
    <n v="2306.5"/>
    <n v="6656"/>
    <s v="Overstock"/>
    <n v="0.14003902016041622"/>
    <s v="Slow"/>
    <n v="11.890800424148606"/>
    <n v="0.34652944711538464"/>
    <s v="Under Utilized"/>
    <n v="0"/>
  </r>
  <r>
    <x v="216"/>
    <s v="North"/>
    <x v="3"/>
    <s v="Supplier C"/>
    <x v="0"/>
    <x v="0"/>
    <n v="999"/>
    <n v="552"/>
    <n v="10957.754779999999"/>
    <b v="1"/>
    <n v="20"/>
    <b v="0"/>
    <n v="190841.49540000001"/>
    <n v="2489"/>
    <n v="9473"/>
    <s v="Understock"/>
    <n v="0.40136601044596221"/>
    <s v="Slow"/>
    <n v="10.968723503503503"/>
    <n v="0.26274675393222846"/>
    <s v="Under Utilized"/>
    <n v="0"/>
  </r>
  <r>
    <x v="217"/>
    <s v="West"/>
    <x v="1"/>
    <s v="Supplier C"/>
    <x v="2"/>
    <x v="0"/>
    <n v="221"/>
    <n v="4426"/>
    <n v="1405.9565399999999"/>
    <b v="1"/>
    <n v="26"/>
    <b v="0"/>
    <n v="18467.82142"/>
    <n v="4285"/>
    <n v="7562"/>
    <s v="Overstock"/>
    <n v="5.1575262543757293E-2"/>
    <s v="Slow"/>
    <n v="6.3617942986425335"/>
    <n v="0.56664903464691885"/>
    <s v="Optimal"/>
    <n v="0"/>
  </r>
  <r>
    <x v="218"/>
    <s v="West"/>
    <x v="2"/>
    <s v="Supplier D"/>
    <x v="0"/>
    <x v="1"/>
    <n v="934"/>
    <n v="4144"/>
    <n v="9208.7961230000001"/>
    <b v="1"/>
    <n v="28"/>
    <b v="0"/>
    <n v="59462.07935"/>
    <n v="4190.5"/>
    <n v="8595"/>
    <s v="Understock"/>
    <n v="0.22288509724376565"/>
    <s v="Slow"/>
    <n v="9.8595247569593152"/>
    <n v="0.48755090168702736"/>
    <s v="Optimal"/>
    <n v="0"/>
  </r>
  <r>
    <x v="219"/>
    <s v="West"/>
    <x v="0"/>
    <s v="Supplier A"/>
    <x v="2"/>
    <x v="0"/>
    <n v="536"/>
    <n v="4237"/>
    <n v="7737.9625820000001"/>
    <b v="1"/>
    <n v="27"/>
    <b v="0"/>
    <n v="97347.788289999997"/>
    <n v="3688"/>
    <n v="7470"/>
    <s v="Overstock"/>
    <n v="0.14533622559652928"/>
    <s v="Slow"/>
    <n v="14.436497354477613"/>
    <n v="0.49370816599732265"/>
    <s v="Optimal"/>
    <n v="0"/>
  </r>
  <r>
    <x v="220"/>
    <s v="South"/>
    <x v="0"/>
    <s v="Supplier B"/>
    <x v="1"/>
    <x v="0"/>
    <n v="741"/>
    <n v="3139"/>
    <n v="976.4221172"/>
    <b v="1"/>
    <n v="23"/>
    <b v="0"/>
    <n v="32993.29363"/>
    <n v="4056"/>
    <n v="6923"/>
    <s v="Understock"/>
    <n v="0.18269230769230768"/>
    <s v="Slow"/>
    <n v="1.3177086601889338"/>
    <n v="0.58587317636862635"/>
    <s v="Optimal"/>
    <n v="0"/>
  </r>
  <r>
    <x v="221"/>
    <s v="West"/>
    <x v="1"/>
    <s v="Supplier B"/>
    <x v="0"/>
    <x v="2"/>
    <n v="819"/>
    <n v="4973"/>
    <n v="1872.874362"/>
    <b v="1"/>
    <n v="3"/>
    <b v="0"/>
    <n v="126908.56939999999"/>
    <n v="4611.5"/>
    <n v="8155"/>
    <s v="Overstock"/>
    <n v="0.17759947956196465"/>
    <s v="Fast"/>
    <n v="2.2867818827838828"/>
    <n v="0.56548129981606376"/>
    <s v="Optimal"/>
    <n v="0"/>
  </r>
  <r>
    <x v="222"/>
    <s v="West"/>
    <x v="0"/>
    <s v="Supplier D"/>
    <x v="1"/>
    <x v="0"/>
    <n v="320"/>
    <n v="4250"/>
    <n v="1219.105869"/>
    <b v="1"/>
    <n v="15"/>
    <b v="0"/>
    <n v="24644.637760000001"/>
    <n v="2447.5"/>
    <n v="8231"/>
    <s v="Overstock"/>
    <n v="0.13074565883554648"/>
    <s v="Slow"/>
    <n v="3.809705840625"/>
    <n v="0.29735147612683754"/>
    <s v="Under Utilized"/>
    <n v="0"/>
  </r>
  <r>
    <x v="223"/>
    <s v="West"/>
    <x v="0"/>
    <s v="Supplier B"/>
    <x v="1"/>
    <x v="0"/>
    <n v="166"/>
    <n v="645"/>
    <n v="9256.8464330000006"/>
    <b v="1"/>
    <n v="12"/>
    <b v="1"/>
    <n v="23022.1306"/>
    <n v="662"/>
    <n v="6222"/>
    <s v="Understock"/>
    <n v="0.25075528700906347"/>
    <s v="Medium"/>
    <n v="55.764135138554224"/>
    <n v="0.10639665702346512"/>
    <s v="Under Utilized"/>
    <n v="1"/>
  </r>
  <r>
    <x v="224"/>
    <s v="South"/>
    <x v="1"/>
    <s v="Supplier A"/>
    <x v="2"/>
    <x v="0"/>
    <n v="751"/>
    <n v="679"/>
    <n v="4678.3855819999999"/>
    <b v="1"/>
    <n v="19"/>
    <b v="0"/>
    <n v="27714.749049999999"/>
    <n v="2305.5"/>
    <n v="5979"/>
    <s v="Understock"/>
    <n v="0.32574278898286707"/>
    <s v="Slow"/>
    <n v="6.229541387483355"/>
    <n v="0.3855995985950828"/>
    <s v="Under Utilized"/>
    <n v="0"/>
  </r>
  <r>
    <x v="225"/>
    <s v="West"/>
    <x v="2"/>
    <s v="Supplier B"/>
    <x v="0"/>
    <x v="2"/>
    <n v="796"/>
    <n v="3932"/>
    <n v="6749.3241539999999"/>
    <b v="1"/>
    <n v="4"/>
    <b v="1"/>
    <n v="120204.0788"/>
    <n v="2198"/>
    <n v="7770"/>
    <s v="Overstock"/>
    <n v="0.36214740673339402"/>
    <s v="Fast"/>
    <n v="8.4790504447236188"/>
    <n v="0.28288288288288288"/>
    <s v="Under Utilized"/>
    <n v="1"/>
  </r>
  <r>
    <x v="226"/>
    <s v="East"/>
    <x v="3"/>
    <s v="Supplier C"/>
    <x v="0"/>
    <x v="0"/>
    <n v="210"/>
    <n v="464"/>
    <n v="9524.4510059999993"/>
    <b v="1"/>
    <n v="1"/>
    <b v="1"/>
    <n v="16534.905729999999"/>
    <n v="291"/>
    <n v="8865"/>
    <s v="Overstock"/>
    <n v="0.72164948453608246"/>
    <s v="Fast"/>
    <n v="45.354528599999995"/>
    <n v="3.2825719120135363E-2"/>
    <s v="Under Utilized"/>
    <n v="1"/>
  </r>
  <r>
    <x v="227"/>
    <s v="North"/>
    <x v="2"/>
    <s v="Supplier D"/>
    <x v="2"/>
    <x v="2"/>
    <n v="590"/>
    <n v="118"/>
    <n v="14992.284470000001"/>
    <b v="1"/>
    <n v="27"/>
    <b v="0"/>
    <n v="100240.7083"/>
    <n v="542.5"/>
    <n v="5604"/>
    <s v="Understock"/>
    <n v="1.0875576036866359"/>
    <s v="Slow"/>
    <n v="25.410651644067798"/>
    <n v="9.6805852962169883E-2"/>
    <s v="Under Utilized"/>
    <n v="0"/>
  </r>
  <r>
    <x v="228"/>
    <s v="East"/>
    <x v="3"/>
    <s v="Supplier A"/>
    <x v="2"/>
    <x v="0"/>
    <n v="808"/>
    <n v="967"/>
    <n v="2588.0467469999999"/>
    <b v="1"/>
    <n v="6"/>
    <b v="0"/>
    <n v="69809.775089999996"/>
    <n v="1767"/>
    <n v="8370"/>
    <s v="Understock"/>
    <n v="0.4572722127900396"/>
    <s v="Fast"/>
    <n v="3.2030281522277226"/>
    <n v="0.21111111111111111"/>
    <s v="Under Utilized"/>
    <n v="0"/>
  </r>
  <r>
    <x v="229"/>
    <s v="West"/>
    <x v="1"/>
    <s v="Supplier B"/>
    <x v="1"/>
    <x v="0"/>
    <n v="893"/>
    <n v="2567"/>
    <n v="3373.9908460000001"/>
    <b v="1"/>
    <n v="12"/>
    <b v="0"/>
    <n v="28308.982370000002"/>
    <n v="3412"/>
    <n v="8913"/>
    <s v="Understock"/>
    <n v="0.26172332942555687"/>
    <s v="Medium"/>
    <n v="3.7782652250839868"/>
    <n v="0.38281162347133402"/>
    <s v="Under Utilized"/>
    <n v="0"/>
  </r>
  <r>
    <x v="230"/>
    <s v="East"/>
    <x v="0"/>
    <s v="Supplier A"/>
    <x v="2"/>
    <x v="2"/>
    <n v="454"/>
    <n v="4257"/>
    <n v="10023.82085"/>
    <b v="1"/>
    <n v="23"/>
    <b v="0"/>
    <n v="30627.55848"/>
    <n v="2200.5"/>
    <n v="5993"/>
    <s v="Overstock"/>
    <n v="0.2063167461940468"/>
    <s v="Slow"/>
    <n v="22.078900550660794"/>
    <n v="0.36717837477056564"/>
    <s v="Under Utilized"/>
    <n v="0"/>
  </r>
  <r>
    <x v="231"/>
    <s v="South"/>
    <x v="3"/>
    <s v="Supplier A"/>
    <x v="0"/>
    <x v="0"/>
    <n v="295"/>
    <n v="144"/>
    <n v="4159.8248670000003"/>
    <b v="1"/>
    <n v="18"/>
    <b v="0"/>
    <n v="8544.7983000000004"/>
    <n v="328.5"/>
    <n v="9362"/>
    <s v="Understock"/>
    <n v="0.89802130898021304"/>
    <s v="Slow"/>
    <n v="14.101101244067797"/>
    <n v="3.5088656270027774E-2"/>
    <s v="Under Utilized"/>
    <n v="0"/>
  </r>
  <r>
    <x v="232"/>
    <s v="South"/>
    <x v="1"/>
    <s v="Supplier B"/>
    <x v="2"/>
    <x v="0"/>
    <n v="954"/>
    <n v="513"/>
    <n v="10847.95508"/>
    <b v="0"/>
    <n v="21"/>
    <b v="1"/>
    <n v="22920.781299999999"/>
    <n v="507.5"/>
    <n v="7275"/>
    <s v="Overstock"/>
    <n v="1.8798029556650246"/>
    <s v="Slow"/>
    <n v="11.371022096436059"/>
    <n v="6.9759450171821308E-2"/>
    <s v="Under Utilized"/>
    <n v="1"/>
  </r>
  <r>
    <x v="233"/>
    <s v="North"/>
    <x v="0"/>
    <s v="Supplier A"/>
    <x v="0"/>
    <x v="0"/>
    <n v="472"/>
    <n v="502"/>
    <n v="10765.14328"/>
    <b v="1"/>
    <n v="5"/>
    <b v="0"/>
    <n v="20739.559959999999"/>
    <n v="2515"/>
    <n v="9034"/>
    <s v="Understock"/>
    <n v="0.18767395626242545"/>
    <s v="Fast"/>
    <n v="22.807506949152543"/>
    <n v="0.27839273854328095"/>
    <s v="Under Utilized"/>
    <n v="0"/>
  </r>
  <r>
    <x v="234"/>
    <s v="North"/>
    <x v="1"/>
    <s v="Supplier B"/>
    <x v="2"/>
    <x v="2"/>
    <n v="204"/>
    <n v="4528"/>
    <n v="13175.449360000001"/>
    <b v="1"/>
    <n v="7"/>
    <b v="0"/>
    <n v="8976.6856879999996"/>
    <n v="3356"/>
    <n v="5286"/>
    <s v="Overstock"/>
    <n v="6.0786650774731825E-2"/>
    <s v="Fast"/>
    <n v="64.585536078431375"/>
    <n v="0.6348846008323874"/>
    <s v="Optimal"/>
    <n v="0"/>
  </r>
  <r>
    <x v="235"/>
    <s v="East"/>
    <x v="3"/>
    <s v="Supplier D"/>
    <x v="0"/>
    <x v="1"/>
    <n v="911"/>
    <n v="2184"/>
    <n v="14339.13031"/>
    <b v="1"/>
    <n v="6"/>
    <b v="1"/>
    <n v="140312.43340000001"/>
    <n v="2670.5"/>
    <n v="6204"/>
    <s v="Understock"/>
    <n v="0.34113461898520875"/>
    <s v="Fast"/>
    <n v="15.739989363336992"/>
    <n v="0.43044809800128947"/>
    <s v="Optimal"/>
    <n v="1"/>
  </r>
  <r>
    <x v="236"/>
    <s v="East"/>
    <x v="0"/>
    <s v="Supplier B"/>
    <x v="2"/>
    <x v="2"/>
    <n v="679"/>
    <n v="3157"/>
    <n v="5990.7760449999996"/>
    <b v="1"/>
    <n v="20"/>
    <b v="0"/>
    <n v="17547.27853"/>
    <n v="2627.5"/>
    <n v="8776"/>
    <s v="Overstock"/>
    <n v="0.25842055185537582"/>
    <s v="Slow"/>
    <n v="8.8229396833578786"/>
    <n v="0.2993960802187785"/>
    <s v="Under Utilized"/>
    <n v="0"/>
  </r>
  <r>
    <x v="237"/>
    <s v="South"/>
    <x v="1"/>
    <s v="Supplier D"/>
    <x v="2"/>
    <x v="0"/>
    <n v="573"/>
    <n v="2098"/>
    <n v="10154.937610000001"/>
    <b v="0"/>
    <n v="29"/>
    <b v="0"/>
    <n v="18829.4954"/>
    <n v="1181"/>
    <n v="8116"/>
    <s v="Overstock"/>
    <n v="0.48518204911092294"/>
    <s v="Slow"/>
    <n v="17.722404205933685"/>
    <n v="0.14551503203548546"/>
    <s v="Under Utilized"/>
    <n v="0"/>
  </r>
  <r>
    <x v="238"/>
    <s v="North"/>
    <x v="2"/>
    <s v="Supplier B"/>
    <x v="2"/>
    <x v="0"/>
    <n v="278"/>
    <n v="264"/>
    <n v="9459.0664890000007"/>
    <b v="1"/>
    <n v="7"/>
    <b v="0"/>
    <n v="49521.00114"/>
    <n v="1281"/>
    <n v="6796"/>
    <s v="Understock"/>
    <n v="0.21701795472287275"/>
    <s v="Fast"/>
    <n v="34.025419025179858"/>
    <n v="0.18849323131253679"/>
    <s v="Under Utilized"/>
    <n v="0"/>
  </r>
  <r>
    <x v="239"/>
    <s v="North"/>
    <x v="2"/>
    <s v="Supplier B"/>
    <x v="0"/>
    <x v="2"/>
    <n v="82"/>
    <n v="2298"/>
    <n v="1595.232403"/>
    <b v="1"/>
    <n v="14"/>
    <b v="0"/>
    <n v="13611.925149999999"/>
    <n v="3350"/>
    <n v="9711"/>
    <s v="Understock"/>
    <n v="2.4477611940298509E-2"/>
    <s v="Medium"/>
    <n v="19.454053695121949"/>
    <n v="0.34496962207805582"/>
    <s v="Under Utilized"/>
    <n v="0"/>
  </r>
  <r>
    <x v="240"/>
    <s v="East"/>
    <x v="2"/>
    <s v="Supplier C"/>
    <x v="2"/>
    <x v="2"/>
    <n v="987"/>
    <n v="4402"/>
    <n v="7616.7493679999998"/>
    <b v="1"/>
    <n v="26"/>
    <b v="0"/>
    <n v="59649.325019999997"/>
    <n v="3828.5"/>
    <n v="6027"/>
    <s v="Overstock"/>
    <n v="0.25780331722606764"/>
    <s v="Slow"/>
    <n v="7.7170712948328264"/>
    <n v="0.63522482163597149"/>
    <s v="Optimal"/>
    <n v="0"/>
  </r>
  <r>
    <x v="241"/>
    <s v="South"/>
    <x v="3"/>
    <s v="Supplier B"/>
    <x v="1"/>
    <x v="0"/>
    <n v="810"/>
    <n v="3255"/>
    <n v="4156.0873600000004"/>
    <b v="1"/>
    <n v="29"/>
    <b v="0"/>
    <n v="34902.753429999997"/>
    <n v="3687.5"/>
    <n v="8333"/>
    <s v="Understock"/>
    <n v="0.21966101694915255"/>
    <s v="Slow"/>
    <n v="5.1309720493827164"/>
    <n v="0.44251770070802832"/>
    <s v="Optimal"/>
    <n v="0"/>
  </r>
  <r>
    <x v="242"/>
    <s v="North"/>
    <x v="1"/>
    <s v="Supplier C"/>
    <x v="0"/>
    <x v="0"/>
    <n v="591"/>
    <n v="4120"/>
    <n v="11154.046259999999"/>
    <b v="1"/>
    <n v="13"/>
    <b v="0"/>
    <n v="15928.034509999999"/>
    <n v="3768.5"/>
    <n v="6665"/>
    <s v="Overstock"/>
    <n v="0.15682632347087699"/>
    <s v="Medium"/>
    <n v="18.87317472081218"/>
    <n v="0.56541635408852209"/>
    <s v="Optimal"/>
    <n v="0"/>
  </r>
  <r>
    <x v="243"/>
    <s v="West"/>
    <x v="0"/>
    <s v="Supplier B"/>
    <x v="0"/>
    <x v="2"/>
    <n v="406"/>
    <n v="3417"/>
    <n v="3122.6806040000001"/>
    <b v="1"/>
    <n v="23"/>
    <b v="0"/>
    <n v="80607.575750000004"/>
    <n v="3721.5"/>
    <n v="5676"/>
    <s v="Understock"/>
    <n v="0.10909579470643557"/>
    <s v="Slow"/>
    <n v="7.6913315369458131"/>
    <n v="0.65565539112050741"/>
    <s v="Optimal"/>
    <n v="0"/>
  </r>
  <r>
    <x v="244"/>
    <s v="East"/>
    <x v="0"/>
    <s v="Supplier C"/>
    <x v="1"/>
    <x v="0"/>
    <n v="815"/>
    <n v="4026"/>
    <n v="7646.9961409999996"/>
    <b v="1"/>
    <n v="10"/>
    <b v="0"/>
    <n v="61566.705199999997"/>
    <n v="4030"/>
    <n v="5701"/>
    <s v="Understock"/>
    <n v="0.20223325062034739"/>
    <s v="Medium"/>
    <n v="9.382817350920245"/>
    <n v="0.70689352745132428"/>
    <s v="Optimal"/>
    <n v="0"/>
  </r>
  <r>
    <x v="245"/>
    <s v="East"/>
    <x v="0"/>
    <s v="Supplier A"/>
    <x v="2"/>
    <x v="0"/>
    <n v="656"/>
    <n v="4034"/>
    <n v="11873.882149999999"/>
    <b v="1"/>
    <n v="22"/>
    <b v="0"/>
    <n v="113100.9326"/>
    <n v="2990.5"/>
    <n v="6229"/>
    <s v="Overstock"/>
    <n v="0.21936131081758903"/>
    <s v="Slow"/>
    <n v="18.100430106707318"/>
    <n v="0.48009311285920692"/>
    <s v="Optimal"/>
    <n v="0"/>
  </r>
  <r>
    <x v="246"/>
    <s v="West"/>
    <x v="2"/>
    <s v="Supplier C"/>
    <x v="0"/>
    <x v="0"/>
    <n v="963"/>
    <n v="1947"/>
    <n v="6115.0676990000002"/>
    <b v="1"/>
    <n v="21"/>
    <b v="1"/>
    <n v="58452.034220000001"/>
    <n v="1690.5"/>
    <n v="8292"/>
    <s v="Overstock"/>
    <n v="0.56965394853593609"/>
    <s v="Slow"/>
    <n v="6.3500183790238838"/>
    <n v="0.2038712011577424"/>
    <s v="Under Utilized"/>
    <n v="1"/>
  </r>
  <r>
    <x v="247"/>
    <s v="North"/>
    <x v="2"/>
    <s v="Supplier A"/>
    <x v="1"/>
    <x v="2"/>
    <n v="150"/>
    <n v="1434"/>
    <n v="11086.887720000001"/>
    <b v="1"/>
    <n v="5"/>
    <b v="1"/>
    <n v="13468.079900000001"/>
    <n v="1060.5"/>
    <n v="6566"/>
    <s v="Overstock"/>
    <n v="0.14144271570014144"/>
    <s v="Fast"/>
    <n v="73.912584800000005"/>
    <n v="0.1615138592750533"/>
    <s v="Under Utilized"/>
    <n v="1"/>
  </r>
  <r>
    <x v="248"/>
    <s v="West"/>
    <x v="1"/>
    <s v="Supplier B"/>
    <x v="1"/>
    <x v="0"/>
    <n v="68"/>
    <n v="687"/>
    <n v="1992.123781"/>
    <b v="1"/>
    <n v="16"/>
    <b v="0"/>
    <n v="2633.1124399999999"/>
    <n v="770"/>
    <n v="5624"/>
    <s v="Understock"/>
    <n v="8.8311688311688313E-2"/>
    <s v="Slow"/>
    <n v="29.295937955882351"/>
    <n v="0.13691322901849218"/>
    <s v="Under Utilized"/>
    <n v="0"/>
  </r>
  <r>
    <x v="249"/>
    <s v="East"/>
    <x v="2"/>
    <s v="Supplier D"/>
    <x v="2"/>
    <x v="0"/>
    <n v="647"/>
    <n v="853"/>
    <n v="9007.8477249999996"/>
    <b v="1"/>
    <n v="24"/>
    <b v="0"/>
    <n v="120622.83809999999"/>
    <n v="2008.5"/>
    <n v="5738"/>
    <s v="Understock"/>
    <n v="0.3221309434901668"/>
    <s v="Slow"/>
    <n v="13.922484891808345"/>
    <n v="0.35003485535029627"/>
    <s v="Under Utilized"/>
    <n v="0"/>
  </r>
  <r>
    <x v="250"/>
    <s v="North"/>
    <x v="1"/>
    <s v="Supplier C"/>
    <x v="2"/>
    <x v="0"/>
    <n v="713"/>
    <n v="3164"/>
    <n v="5377.0130369999997"/>
    <b v="1"/>
    <n v="29"/>
    <b v="1"/>
    <n v="32620.407950000001"/>
    <n v="1985"/>
    <n v="5810"/>
    <s v="Overstock"/>
    <n v="0.35919395465994963"/>
    <s v="Slow"/>
    <n v="7.5413927587657783"/>
    <n v="0.34165232358003444"/>
    <s v="Under Utilized"/>
    <n v="1"/>
  </r>
  <r>
    <x v="251"/>
    <s v="South"/>
    <x v="3"/>
    <s v="Supplier D"/>
    <x v="2"/>
    <x v="0"/>
    <n v="761"/>
    <n v="806"/>
    <n v="2490.89894"/>
    <b v="1"/>
    <n v="27"/>
    <b v="0"/>
    <n v="63557.139470000002"/>
    <n v="2198.5"/>
    <n v="9043"/>
    <s v="Understock"/>
    <n v="0.34614509893108936"/>
    <s v="Slow"/>
    <n v="3.273191773981603"/>
    <n v="0.24311622249253567"/>
    <s v="Under Utilized"/>
    <n v="0"/>
  </r>
  <r>
    <x v="252"/>
    <s v="West"/>
    <x v="2"/>
    <s v="Supplier C"/>
    <x v="2"/>
    <x v="0"/>
    <n v="93"/>
    <n v="3591"/>
    <n v="13367.90452"/>
    <b v="1"/>
    <n v="8"/>
    <b v="0"/>
    <n v="2108.9066309999998"/>
    <n v="4132"/>
    <n v="6217"/>
    <s v="Understock"/>
    <n v="2.2507260406582769E-2"/>
    <s v="Medium"/>
    <n v="143.74090881720431"/>
    <n v="0.66462924239987131"/>
    <s v="Optimal"/>
    <n v="0"/>
  </r>
  <r>
    <x v="253"/>
    <s v="North"/>
    <x v="2"/>
    <s v="Supplier B"/>
    <x v="0"/>
    <x v="0"/>
    <n v="631"/>
    <n v="4673"/>
    <n v="4406.5593950000002"/>
    <b v="1"/>
    <n v="6"/>
    <b v="0"/>
    <n v="80517.650680000006"/>
    <n v="4105.5"/>
    <n v="6263"/>
    <s v="Overstock"/>
    <n v="0.15369626111314091"/>
    <s v="Fast"/>
    <n v="6.9834538748019019"/>
    <n v="0.65551652562669649"/>
    <s v="Optimal"/>
    <n v="0"/>
  </r>
  <r>
    <x v="254"/>
    <s v="East"/>
    <x v="0"/>
    <s v="Supplier B"/>
    <x v="1"/>
    <x v="0"/>
    <n v="439"/>
    <n v="3538"/>
    <n v="12061.383680000001"/>
    <b v="0"/>
    <n v="4"/>
    <b v="0"/>
    <n v="83905.321500000005"/>
    <n v="3394.5"/>
    <n v="8216"/>
    <s v="Overstock"/>
    <n v="0.12932685226101046"/>
    <s v="Fast"/>
    <n v="27.474678086560367"/>
    <n v="0.41315725413826682"/>
    <s v="Optimal"/>
    <n v="0"/>
  </r>
  <r>
    <x v="255"/>
    <s v="North"/>
    <x v="2"/>
    <s v="Supplier B"/>
    <x v="0"/>
    <x v="0"/>
    <n v="798"/>
    <n v="3251"/>
    <n v="11161.14264"/>
    <b v="0"/>
    <n v="27"/>
    <b v="1"/>
    <n v="97473.671480000005"/>
    <n v="4067.5"/>
    <n v="9768"/>
    <s v="Understock"/>
    <n v="0.19618930547019053"/>
    <s v="Slow"/>
    <n v="13.986394285714285"/>
    <n v="0.41641072891072889"/>
    <s v="Optimal"/>
    <n v="1"/>
  </r>
  <r>
    <x v="256"/>
    <s v="North"/>
    <x v="2"/>
    <s v="Supplier B"/>
    <x v="1"/>
    <x v="0"/>
    <n v="139"/>
    <n v="4884"/>
    <n v="11736.46285"/>
    <b v="1"/>
    <n v="16"/>
    <b v="0"/>
    <n v="20426.19627"/>
    <n v="4391.5"/>
    <n v="7425"/>
    <s v="Overstock"/>
    <n v="3.1652055106455655E-2"/>
    <s v="Slow"/>
    <n v="84.434984532374102"/>
    <n v="0.59144781144781144"/>
    <s v="Optimal"/>
    <n v="0"/>
  </r>
  <r>
    <x v="257"/>
    <s v="West"/>
    <x v="3"/>
    <s v="Supplier D"/>
    <x v="0"/>
    <x v="0"/>
    <n v="648"/>
    <n v="3899"/>
    <n v="13345.87066"/>
    <b v="1"/>
    <n v="9"/>
    <b v="0"/>
    <n v="63946.175289999999"/>
    <n v="4010.5"/>
    <n v="5152"/>
    <s v="Understock"/>
    <n v="0.16157586335868346"/>
    <s v="Medium"/>
    <n v="20.595479413580247"/>
    <n v="0.7784355590062112"/>
    <s v="Optimal"/>
    <n v="0"/>
  </r>
  <r>
    <x v="258"/>
    <s v="North"/>
    <x v="3"/>
    <s v="Supplier B"/>
    <x v="0"/>
    <x v="2"/>
    <n v="907"/>
    <n v="4122"/>
    <n v="5009.6015530000004"/>
    <b v="1"/>
    <n v="19"/>
    <b v="0"/>
    <n v="140350.6759"/>
    <n v="2648"/>
    <n v="8546"/>
    <s v="Overstock"/>
    <n v="0.34252265861027192"/>
    <s v="Slow"/>
    <n v="5.5232652183020949"/>
    <n v="0.30985256260238708"/>
    <s v="Under Utilized"/>
    <n v="0"/>
  </r>
  <r>
    <x v="259"/>
    <s v="West"/>
    <x v="0"/>
    <s v="Supplier C"/>
    <x v="0"/>
    <x v="0"/>
    <n v="491"/>
    <n v="1174"/>
    <n v="2321.426391"/>
    <b v="1"/>
    <n v="4"/>
    <b v="0"/>
    <n v="29506.496910000002"/>
    <n v="1940.5"/>
    <n v="9278"/>
    <s v="Understock"/>
    <n v="0.25302757021386241"/>
    <s v="Fast"/>
    <n v="4.7279559898167003"/>
    <n v="0.20915067902565207"/>
    <s v="Under Utilized"/>
    <n v="0"/>
  </r>
  <r>
    <x v="260"/>
    <s v="South"/>
    <x v="3"/>
    <s v="Supplier A"/>
    <x v="0"/>
    <x v="0"/>
    <n v="432"/>
    <n v="2707"/>
    <n v="3248.0261270000001"/>
    <b v="1"/>
    <n v="19"/>
    <b v="0"/>
    <n v="14359.285250000001"/>
    <n v="3122.5"/>
    <n v="6950"/>
    <s v="Understock"/>
    <n v="0.13835068054443556"/>
    <s v="Slow"/>
    <n v="7.5185789976851858"/>
    <n v="0.44928057553956835"/>
    <s v="Optimal"/>
    <n v="0"/>
  </r>
  <r>
    <x v="261"/>
    <s v="South"/>
    <x v="3"/>
    <s v="Supplier B"/>
    <x v="0"/>
    <x v="0"/>
    <n v="306"/>
    <n v="3538"/>
    <n v="3475.6912659999998"/>
    <b v="1"/>
    <n v="19"/>
    <b v="0"/>
    <n v="46202.240270000002"/>
    <n v="2282"/>
    <n v="6446"/>
    <s v="Overstock"/>
    <n v="0.13409290096406662"/>
    <s v="Slow"/>
    <n v="11.358468189542483"/>
    <n v="0.35401799565622089"/>
    <s v="Under Utilized"/>
    <n v="0"/>
  </r>
  <r>
    <x v="262"/>
    <s v="North"/>
    <x v="0"/>
    <s v="Supplier B"/>
    <x v="1"/>
    <x v="0"/>
    <n v="302"/>
    <n v="1026"/>
    <n v="3520.0262899999998"/>
    <b v="1"/>
    <n v="24"/>
    <b v="0"/>
    <n v="19978.293119999998"/>
    <n v="2218"/>
    <n v="6862"/>
    <s v="Understock"/>
    <n v="0.13615870153291254"/>
    <s v="Slow"/>
    <n v="11.65571619205298"/>
    <n v="0.3232293791897406"/>
    <s v="Under Utilized"/>
    <n v="0"/>
  </r>
  <r>
    <x v="263"/>
    <s v="South"/>
    <x v="3"/>
    <s v="Supplier B"/>
    <x v="0"/>
    <x v="0"/>
    <n v="504"/>
    <n v="3410"/>
    <n v="11347.53218"/>
    <b v="1"/>
    <n v="6"/>
    <b v="0"/>
    <n v="51972.514289999999"/>
    <n v="2250"/>
    <n v="5439"/>
    <s v="Overstock"/>
    <n v="0.224"/>
    <s v="Fast"/>
    <n v="22.514944801587301"/>
    <n v="0.41367898510755652"/>
    <s v="Optimal"/>
    <n v="0"/>
  </r>
  <r>
    <x v="264"/>
    <s v="North"/>
    <x v="2"/>
    <s v="Supplier A"/>
    <x v="0"/>
    <x v="2"/>
    <n v="304"/>
    <n v="1090"/>
    <n v="4839.1020790000002"/>
    <b v="1"/>
    <n v="13"/>
    <b v="0"/>
    <n v="28705.257010000001"/>
    <n v="1809.5"/>
    <n v="9714"/>
    <s v="Understock"/>
    <n v="0.16800221055540204"/>
    <s v="Medium"/>
    <n v="15.918098944078949"/>
    <n v="0.18627753757463456"/>
    <s v="Under Utilized"/>
    <n v="0"/>
  </r>
  <r>
    <x v="265"/>
    <s v="West"/>
    <x v="1"/>
    <s v="Supplier C"/>
    <x v="1"/>
    <x v="0"/>
    <n v="742"/>
    <n v="2529"/>
    <n v="6499.127015"/>
    <b v="1"/>
    <n v="7"/>
    <b v="0"/>
    <n v="24156.74656"/>
    <n v="1437.5"/>
    <n v="9970"/>
    <s v="Overstock"/>
    <n v="0.51617391304347826"/>
    <s v="Fast"/>
    <n v="8.7589312870619942"/>
    <n v="0.14418254764292879"/>
    <s v="Under Utilized"/>
    <n v="0"/>
  </r>
  <r>
    <x v="266"/>
    <s v="North"/>
    <x v="2"/>
    <s v="Supplier D"/>
    <x v="2"/>
    <x v="0"/>
    <n v="139"/>
    <n v="346"/>
    <n v="842.08353279999994"/>
    <b v="1"/>
    <n v="14"/>
    <b v="0"/>
    <n v="9261.1610369999999"/>
    <n v="2130.5"/>
    <n v="7986"/>
    <s v="Understock"/>
    <n v="6.5242900727528752E-2"/>
    <s v="Medium"/>
    <n v="6.0581549122302158"/>
    <n v="0.2667793638868019"/>
    <s v="Under Utilized"/>
    <n v="0"/>
  </r>
  <r>
    <x v="267"/>
    <s v="North"/>
    <x v="3"/>
    <s v="Supplier B"/>
    <x v="2"/>
    <x v="2"/>
    <n v="579"/>
    <n v="3915"/>
    <n v="8079.2870839999996"/>
    <b v="1"/>
    <n v="19"/>
    <b v="0"/>
    <n v="79478.19958"/>
    <n v="4291"/>
    <n v="6174"/>
    <s v="Understock"/>
    <n v="0.13493358191563737"/>
    <s v="Slow"/>
    <n v="13.953863702936095"/>
    <n v="0.69501133786848068"/>
    <s v="Optimal"/>
    <n v="0"/>
  </r>
  <r>
    <x v="268"/>
    <s v="West"/>
    <x v="2"/>
    <s v="Supplier D"/>
    <x v="0"/>
    <x v="0"/>
    <n v="853"/>
    <n v="4667"/>
    <n v="10074.86954"/>
    <b v="1"/>
    <n v="12"/>
    <b v="0"/>
    <n v="81959.352079999997"/>
    <n v="4199.5"/>
    <n v="8543"/>
    <s v="Overstock"/>
    <n v="0.20311941897844982"/>
    <s v="Medium"/>
    <n v="11.811101453692848"/>
    <n v="0.49157204729017911"/>
    <s v="Optimal"/>
    <n v="0"/>
  </r>
  <r>
    <x v="269"/>
    <s v="East"/>
    <x v="2"/>
    <s v="Supplier A"/>
    <x v="0"/>
    <x v="0"/>
    <n v="271"/>
    <n v="3732"/>
    <n v="14423.162050000001"/>
    <b v="0"/>
    <n v="25"/>
    <b v="0"/>
    <n v="40157.11879"/>
    <n v="2364.5"/>
    <n v="6536"/>
    <s v="Overstock"/>
    <n v="0.11461196870374286"/>
    <s v="Slow"/>
    <n v="53.222000184501852"/>
    <n v="0.361765605875153"/>
    <s v="Under Utilized"/>
    <n v="0"/>
  </r>
  <r>
    <x v="270"/>
    <s v="North"/>
    <x v="0"/>
    <s v="Supplier D"/>
    <x v="0"/>
    <x v="0"/>
    <n v="317"/>
    <n v="997"/>
    <n v="8954.4814239999996"/>
    <b v="1"/>
    <n v="13"/>
    <b v="0"/>
    <n v="35581.806620000003"/>
    <n v="1679.5"/>
    <n v="9193"/>
    <s v="Understock"/>
    <n v="0.18874665078892527"/>
    <s v="Medium"/>
    <n v="28.247575470031546"/>
    <n v="0.18269335363863809"/>
    <s v="Under Utilized"/>
    <n v="0"/>
  </r>
  <r>
    <x v="271"/>
    <s v="South"/>
    <x v="1"/>
    <s v="Supplier B"/>
    <x v="0"/>
    <x v="0"/>
    <n v="157"/>
    <n v="2362"/>
    <n v="12046.142400000001"/>
    <b v="1"/>
    <n v="28"/>
    <b v="0"/>
    <n v="23776.700140000001"/>
    <n v="2354"/>
    <n v="9160"/>
    <s v="Overstock"/>
    <n v="6.6694987255734917E-2"/>
    <s v="Slow"/>
    <n v="76.727021656050965"/>
    <n v="0.25698689956331877"/>
    <s v="Under Utilized"/>
    <n v="0"/>
  </r>
  <r>
    <x v="272"/>
    <s v="West"/>
    <x v="1"/>
    <s v="Supplier C"/>
    <x v="1"/>
    <x v="0"/>
    <n v="115"/>
    <n v="2346"/>
    <n v="8457.3079589999998"/>
    <b v="1"/>
    <n v="12"/>
    <b v="0"/>
    <n v="17096.581330000001"/>
    <n v="1640.5"/>
    <n v="9881"/>
    <s v="Overstock"/>
    <n v="7.010057909174032E-2"/>
    <s v="Medium"/>
    <n v="73.541808339130426"/>
    <n v="0.16602570590021254"/>
    <s v="Under Utilized"/>
    <n v="0"/>
  </r>
  <r>
    <x v="273"/>
    <s v="North"/>
    <x v="2"/>
    <s v="Supplier C"/>
    <x v="1"/>
    <x v="0"/>
    <n v="252"/>
    <n v="935"/>
    <n v="6885.4262339999996"/>
    <b v="1"/>
    <n v="22"/>
    <b v="1"/>
    <n v="42803.4859"/>
    <n v="733.5"/>
    <n v="8594"/>
    <s v="Overstock"/>
    <n v="0.34355828220858897"/>
    <s v="Slow"/>
    <n v="27.323119976190476"/>
    <n v="8.5350244356527813E-2"/>
    <s v="Under Utilized"/>
    <n v="1"/>
  </r>
  <r>
    <x v="274"/>
    <s v="East"/>
    <x v="3"/>
    <s v="Supplier B"/>
    <x v="2"/>
    <x v="0"/>
    <n v="327"/>
    <n v="532"/>
    <n v="13821.83592"/>
    <b v="1"/>
    <n v="28"/>
    <b v="0"/>
    <n v="49545.289190000003"/>
    <n v="1917.5"/>
    <n v="5596"/>
    <s v="Understock"/>
    <n v="0.17053455019556715"/>
    <s v="Slow"/>
    <n v="42.268611376146787"/>
    <n v="0.34265546819156539"/>
    <s v="Under Utilized"/>
    <n v="0"/>
  </r>
  <r>
    <x v="275"/>
    <s v="North"/>
    <x v="3"/>
    <s v="Supplier C"/>
    <x v="2"/>
    <x v="0"/>
    <n v="719"/>
    <n v="3303"/>
    <n v="6932.8633579999996"/>
    <b v="1"/>
    <n v="17"/>
    <b v="0"/>
    <n v="49924.969120000002"/>
    <n v="2288"/>
    <n v="8008"/>
    <s v="Overstock"/>
    <n v="0.31424825174825177"/>
    <s v="Slow"/>
    <n v="9.6423690653685661"/>
    <n v="0.2857142857142857"/>
    <s v="Under Utilized"/>
    <n v="0"/>
  </r>
  <r>
    <x v="276"/>
    <s v="East"/>
    <x v="2"/>
    <s v="Supplier B"/>
    <x v="0"/>
    <x v="0"/>
    <n v="591"/>
    <n v="1273"/>
    <n v="12811.13451"/>
    <b v="1"/>
    <n v="12"/>
    <b v="0"/>
    <n v="69365.448260000005"/>
    <n v="1145.5"/>
    <n v="7143"/>
    <s v="Overstock"/>
    <n v="0.51593190746398954"/>
    <s v="Medium"/>
    <n v="21.677046548223348"/>
    <n v="0.16036679266414672"/>
    <s v="Under Utilized"/>
    <n v="0"/>
  </r>
  <r>
    <x v="277"/>
    <s v="North"/>
    <x v="1"/>
    <s v="Supplier C"/>
    <x v="1"/>
    <x v="2"/>
    <n v="693"/>
    <n v="1018"/>
    <n v="8640.8564800000004"/>
    <b v="1"/>
    <n v="23"/>
    <b v="0"/>
    <n v="36415.297070000001"/>
    <n v="2887"/>
    <n v="5982"/>
    <s v="Understock"/>
    <n v="0.2400415656390717"/>
    <s v="Slow"/>
    <n v="12.46876836940837"/>
    <n v="0.48261451019725843"/>
    <s v="Optimal"/>
    <n v="0"/>
  </r>
  <r>
    <x v="278"/>
    <s v="East"/>
    <x v="0"/>
    <s v="Supplier B"/>
    <x v="0"/>
    <x v="0"/>
    <n v="538"/>
    <n v="4756"/>
    <n v="6922.7896559999999"/>
    <b v="1"/>
    <n v="19"/>
    <b v="1"/>
    <n v="68865.402000000002"/>
    <n v="4306.5"/>
    <n v="8406"/>
    <s v="Overstock"/>
    <n v="0.12492743527226285"/>
    <s v="Slow"/>
    <n v="12.867638765799256"/>
    <n v="0.51231263383297643"/>
    <s v="Optimal"/>
    <n v="1"/>
  </r>
  <r>
    <x v="279"/>
    <s v="North"/>
    <x v="0"/>
    <s v="Supplier D"/>
    <x v="0"/>
    <x v="0"/>
    <n v="88"/>
    <n v="3857"/>
    <n v="2537.3558950000001"/>
    <b v="0"/>
    <n v="24"/>
    <b v="0"/>
    <n v="9628.1054050000002"/>
    <n v="2103.5"/>
    <n v="5766"/>
    <s v="Overstock"/>
    <n v="4.1835036843356307E-2"/>
    <s v="Slow"/>
    <n v="28.833589715909092"/>
    <n v="0.36481096080471731"/>
    <s v="Under Utilized"/>
    <n v="0"/>
  </r>
  <r>
    <x v="280"/>
    <s v="West"/>
    <x v="0"/>
    <s v="Supplier B"/>
    <x v="1"/>
    <x v="1"/>
    <n v="993"/>
    <n v="350"/>
    <n v="9689.4342639999995"/>
    <b v="1"/>
    <n v="13"/>
    <b v="0"/>
    <n v="179787.47579999999"/>
    <n v="1432.5"/>
    <n v="7610"/>
    <s v="Understock"/>
    <n v="0.69319371727748691"/>
    <s v="Medium"/>
    <n v="9.7577384330312178"/>
    <n v="0.18823915900131405"/>
    <s v="Under Utilized"/>
    <n v="0"/>
  </r>
  <r>
    <x v="281"/>
    <s v="West"/>
    <x v="2"/>
    <s v="Supplier C"/>
    <x v="0"/>
    <x v="2"/>
    <n v="991"/>
    <n v="2515"/>
    <n v="11045.392819999999"/>
    <b v="1"/>
    <n v="13"/>
    <b v="0"/>
    <n v="76652.647750000004"/>
    <n v="2763"/>
    <n v="9326"/>
    <s v="Understock"/>
    <n v="0.35866811436844009"/>
    <s v="Medium"/>
    <n v="11.14570415741675"/>
    <n v="0.29626849667595967"/>
    <s v="Under Utilized"/>
    <n v="0"/>
  </r>
  <r>
    <x v="282"/>
    <s v="West"/>
    <x v="0"/>
    <s v="Supplier B"/>
    <x v="1"/>
    <x v="1"/>
    <n v="353"/>
    <n v="3011"/>
    <n v="9906.6595140000009"/>
    <b v="0"/>
    <n v="18"/>
    <b v="0"/>
    <n v="30080.251789999998"/>
    <n v="2952"/>
    <n v="5130"/>
    <s v="Overstock"/>
    <n v="0.11957994579945799"/>
    <s v="Slow"/>
    <n v="28.06419125779037"/>
    <n v="0.57543859649122808"/>
    <s v="Optimal"/>
    <n v="0"/>
  </r>
  <r>
    <x v="283"/>
    <s v="South"/>
    <x v="2"/>
    <s v="Supplier D"/>
    <x v="1"/>
    <x v="0"/>
    <n v="600"/>
    <n v="2893"/>
    <n v="6688.4603969999998"/>
    <b v="1"/>
    <n v="19"/>
    <b v="0"/>
    <n v="54384.043640000004"/>
    <n v="1929"/>
    <n v="5570"/>
    <s v="Overstock"/>
    <n v="0.31104199066874028"/>
    <s v="Slow"/>
    <n v="11.147433995"/>
    <n v="0.34631956912028727"/>
    <s v="Under Utilized"/>
    <n v="0"/>
  </r>
  <r>
    <x v="284"/>
    <s v="South"/>
    <x v="3"/>
    <s v="Supplier C"/>
    <x v="0"/>
    <x v="0"/>
    <n v="578"/>
    <n v="965"/>
    <n v="12581.279070000001"/>
    <b v="1"/>
    <n v="8"/>
    <b v="0"/>
    <n v="113898.1689"/>
    <n v="2102.5"/>
    <n v="5113"/>
    <s v="Understock"/>
    <n v="0.27491082045184306"/>
    <s v="Medium"/>
    <n v="21.766918806228375"/>
    <n v="0.41120672794836693"/>
    <s v="Optimal"/>
    <n v="0"/>
  </r>
  <r>
    <x v="285"/>
    <s v="West"/>
    <x v="2"/>
    <s v="Supplier C"/>
    <x v="2"/>
    <x v="0"/>
    <n v="470"/>
    <n v="3240"/>
    <n v="4358.565364"/>
    <b v="1"/>
    <n v="7"/>
    <b v="0"/>
    <n v="48215.068330000002"/>
    <n v="3373.5"/>
    <n v="5411"/>
    <s v="Understock"/>
    <n v="0.13932117978360753"/>
    <s v="Fast"/>
    <n v="9.2735433276595742"/>
    <n v="0.62345222694511182"/>
    <s v="Optimal"/>
    <n v="0"/>
  </r>
  <r>
    <x v="286"/>
    <s v="South"/>
    <x v="2"/>
    <s v="Supplier A"/>
    <x v="0"/>
    <x v="0"/>
    <n v="309"/>
    <n v="3507"/>
    <n v="14881.56099"/>
    <b v="1"/>
    <n v="3"/>
    <b v="0"/>
    <n v="32337.445070000002"/>
    <n v="3168"/>
    <n v="7691"/>
    <s v="Overstock"/>
    <n v="9.7537878787878785E-2"/>
    <s v="Fast"/>
    <n v="48.160391553398057"/>
    <n v="0.41191002470419974"/>
    <s v="Optimal"/>
    <n v="0"/>
  </r>
  <r>
    <x v="287"/>
    <s v="North"/>
    <x v="3"/>
    <s v="Supplier A"/>
    <x v="2"/>
    <x v="0"/>
    <n v="80"/>
    <n v="2829"/>
    <n v="7871.1545699999997"/>
    <b v="1"/>
    <n v="24"/>
    <b v="0"/>
    <n v="11500.030140000001"/>
    <n v="3014"/>
    <n v="6475"/>
    <s v="Understock"/>
    <n v="2.6542800265428004E-2"/>
    <s v="Slow"/>
    <n v="98.389432124999999"/>
    <n v="0.46548262548262548"/>
    <s v="Optimal"/>
    <n v="0"/>
  </r>
  <r>
    <x v="288"/>
    <s v="North"/>
    <x v="2"/>
    <s v="Supplier A"/>
    <x v="1"/>
    <x v="0"/>
    <n v="236"/>
    <n v="3199"/>
    <n v="11126.72307"/>
    <b v="1"/>
    <n v="27"/>
    <b v="1"/>
    <n v="17072.841789999999"/>
    <n v="1866"/>
    <n v="8962"/>
    <s v="Overstock"/>
    <n v="0.12647374062165059"/>
    <s v="Slow"/>
    <n v="47.14713165254237"/>
    <n v="0.20821245257754967"/>
    <s v="Under Utilized"/>
    <n v="1"/>
  </r>
  <r>
    <x v="289"/>
    <s v="East"/>
    <x v="0"/>
    <s v="Supplier C"/>
    <x v="1"/>
    <x v="0"/>
    <n v="812"/>
    <n v="533"/>
    <n v="13434.85347"/>
    <b v="1"/>
    <n v="11"/>
    <b v="0"/>
    <n v="93491.385989999995"/>
    <n v="2578.5"/>
    <n v="9413"/>
    <s v="Understock"/>
    <n v="0.31491177040915258"/>
    <s v="Medium"/>
    <n v="16.545386046798029"/>
    <n v="0.27392967173058536"/>
    <s v="Under Utilized"/>
    <n v="0"/>
  </r>
  <r>
    <x v="290"/>
    <s v="South"/>
    <x v="3"/>
    <s v="Supplier B"/>
    <x v="2"/>
    <x v="0"/>
    <n v="608"/>
    <n v="4624"/>
    <n v="9861.1401549999991"/>
    <b v="1"/>
    <n v="10"/>
    <b v="1"/>
    <n v="40208.723680000003"/>
    <n v="2747.5"/>
    <n v="7649"/>
    <s v="Overstock"/>
    <n v="0.22129208371246586"/>
    <s v="Medium"/>
    <n v="16.218980518092103"/>
    <n v="0.35919728069028634"/>
    <s v="Under Utilized"/>
    <n v="1"/>
  </r>
  <r>
    <x v="291"/>
    <s v="East"/>
    <x v="1"/>
    <s v="Supplier A"/>
    <x v="1"/>
    <x v="0"/>
    <n v="404"/>
    <n v="871"/>
    <n v="10507.480519999999"/>
    <b v="1"/>
    <n v="2"/>
    <b v="0"/>
    <n v="43353.223669999999"/>
    <n v="1484"/>
    <n v="8659"/>
    <s v="Understock"/>
    <n v="0.27223719676549868"/>
    <s v="Fast"/>
    <n v="26.008615148514849"/>
    <n v="0.1713823767178658"/>
    <s v="Under Utilized"/>
    <n v="0"/>
  </r>
  <r>
    <x v="292"/>
    <s v="East"/>
    <x v="1"/>
    <s v="Supplier A"/>
    <x v="2"/>
    <x v="0"/>
    <n v="577"/>
    <n v="2097"/>
    <n v="3018.2387359999998"/>
    <b v="1"/>
    <n v="18"/>
    <b v="0"/>
    <n v="55113.387479999998"/>
    <n v="3198.5"/>
    <n v="7782"/>
    <s v="Understock"/>
    <n v="0.18039706112240111"/>
    <s v="Slow"/>
    <n v="5.2309163535528596"/>
    <n v="0.41101259316371114"/>
    <s v="Optimal"/>
    <n v="0"/>
  </r>
  <r>
    <x v="293"/>
    <s v="South"/>
    <x v="1"/>
    <s v="Supplier B"/>
    <x v="2"/>
    <x v="1"/>
    <n v="462"/>
    <n v="4300"/>
    <n v="2040.5627730000001"/>
    <b v="1"/>
    <n v="3"/>
    <b v="0"/>
    <n v="23202.829829999999"/>
    <n v="2312.5"/>
    <n v="5251"/>
    <s v="Overstock"/>
    <n v="0.19978378378378378"/>
    <s v="Fast"/>
    <n v="4.416802538961039"/>
    <n v="0.44039230622738523"/>
    <s v="Optimal"/>
    <n v="0"/>
  </r>
  <r>
    <x v="294"/>
    <s v="South"/>
    <x v="0"/>
    <s v="Supplier A"/>
    <x v="1"/>
    <x v="2"/>
    <n v="557"/>
    <n v="325"/>
    <n v="1278.6076399999999"/>
    <b v="1"/>
    <n v="18"/>
    <b v="0"/>
    <n v="87800.674270000003"/>
    <n v="2255.5"/>
    <n v="9644"/>
    <s v="Understock"/>
    <n v="0.24695189536688095"/>
    <s v="Slow"/>
    <n v="2.2955253859964091"/>
    <n v="0.23387598506843632"/>
    <s v="Under Utilized"/>
    <n v="0"/>
  </r>
  <r>
    <x v="295"/>
    <s v="East"/>
    <x v="0"/>
    <s v="Supplier B"/>
    <x v="1"/>
    <x v="2"/>
    <n v="205"/>
    <n v="4186"/>
    <n v="14242.658939999999"/>
    <b v="1"/>
    <n v="15"/>
    <b v="0"/>
    <n v="30567.024089999999"/>
    <n v="3710"/>
    <n v="9438"/>
    <s v="Overstock"/>
    <n v="5.5256064690026953E-2"/>
    <s v="Slow"/>
    <n v="69.476385073170732"/>
    <n v="0.39309175672812036"/>
    <s v="Under Utilized"/>
    <n v="0"/>
  </r>
  <r>
    <x v="296"/>
    <s v="East"/>
    <x v="3"/>
    <s v="Supplier C"/>
    <x v="2"/>
    <x v="1"/>
    <n v="707"/>
    <n v="3234"/>
    <n v="8931.0822449999996"/>
    <b v="0"/>
    <n v="25"/>
    <b v="0"/>
    <n v="132759.34700000001"/>
    <n v="3668"/>
    <n v="9793"/>
    <s v="Understock"/>
    <n v="0.19274809160305342"/>
    <s v="Slow"/>
    <n v="12.632365268741159"/>
    <n v="0.37455325232308789"/>
    <s v="Under Utilized"/>
    <n v="0"/>
  </r>
  <r>
    <x v="297"/>
    <s v="South"/>
    <x v="2"/>
    <s v="Supplier A"/>
    <x v="1"/>
    <x v="0"/>
    <n v="426"/>
    <n v="4102"/>
    <n v="10912.475200000001"/>
    <b v="1"/>
    <n v="20"/>
    <b v="0"/>
    <n v="61706.600469999998"/>
    <n v="4477.5"/>
    <n v="6665"/>
    <s v="Understock"/>
    <n v="9.5142378559463989E-2"/>
    <s v="Slow"/>
    <n v="25.616138967136152"/>
    <n v="0.67179294823705926"/>
    <s v="Optimal"/>
    <n v="0"/>
  </r>
  <r>
    <x v="298"/>
    <s v="West"/>
    <x v="2"/>
    <s v="Supplier D"/>
    <x v="0"/>
    <x v="0"/>
    <n v="895"/>
    <n v="4853"/>
    <n v="8123.6698820000001"/>
    <b v="1"/>
    <n v="29"/>
    <b v="0"/>
    <n v="154443.37359999999"/>
    <n v="3142.5"/>
    <n v="6856"/>
    <s v="Overstock"/>
    <n v="0.28480509148766903"/>
    <s v="Slow"/>
    <n v="9.0767261251396647"/>
    <n v="0.45835764294049008"/>
    <s v="Optimal"/>
    <n v="0"/>
  </r>
  <r>
    <x v="299"/>
    <s v="North"/>
    <x v="1"/>
    <s v="Supplier B"/>
    <x v="2"/>
    <x v="0"/>
    <n v="593"/>
    <n v="1432"/>
    <n v="10323.218639999999"/>
    <b v="1"/>
    <n v="1"/>
    <b v="0"/>
    <n v="84709.306419999994"/>
    <n v="1052"/>
    <n v="8111"/>
    <s v="Overstock"/>
    <n v="0.56368821292775662"/>
    <s v="Fast"/>
    <n v="17.408463136593589"/>
    <n v="0.12970040685488843"/>
    <s v="Under Utilized"/>
    <n v="0"/>
  </r>
  <r>
    <x v="300"/>
    <s v="East"/>
    <x v="1"/>
    <s v="Supplier A"/>
    <x v="2"/>
    <x v="2"/>
    <n v="332"/>
    <n v="672"/>
    <n v="9292.5986959999991"/>
    <b v="1"/>
    <n v="19"/>
    <b v="0"/>
    <n v="24829.01874"/>
    <n v="1891"/>
    <n v="9641"/>
    <s v="Understock"/>
    <n v="0.17556848228450556"/>
    <s v="Slow"/>
    <n v="27.989755108433734"/>
    <n v="0.19614147909967847"/>
    <s v="Under Utilized"/>
    <n v="0"/>
  </r>
  <r>
    <x v="301"/>
    <s v="East"/>
    <x v="3"/>
    <s v="Supplier B"/>
    <x v="2"/>
    <x v="0"/>
    <n v="860"/>
    <n v="3110"/>
    <n v="3294.0208729999999"/>
    <b v="1"/>
    <n v="22"/>
    <b v="0"/>
    <n v="79918.407630000002"/>
    <n v="3703"/>
    <n v="7905"/>
    <s v="Understock"/>
    <n v="0.23224412638401296"/>
    <s v="Slow"/>
    <n v="3.8302568290697674"/>
    <n v="0.46843769765970905"/>
    <s v="Optimal"/>
    <n v="0"/>
  </r>
  <r>
    <x v="302"/>
    <s v="West"/>
    <x v="3"/>
    <s v="Supplier D"/>
    <x v="1"/>
    <x v="1"/>
    <n v="684"/>
    <n v="4296"/>
    <n v="9424.0455959999999"/>
    <b v="0"/>
    <n v="7"/>
    <b v="0"/>
    <n v="89680.877280000001"/>
    <n v="2919.5"/>
    <n v="6940"/>
    <s v="Overstock"/>
    <n v="0.23428669292687104"/>
    <s v="Fast"/>
    <n v="13.777844438596491"/>
    <n v="0.42067723342939484"/>
    <s v="Optimal"/>
    <n v="0"/>
  </r>
  <r>
    <x v="303"/>
    <s v="South"/>
    <x v="3"/>
    <s v="Supplier B"/>
    <x v="0"/>
    <x v="0"/>
    <n v="805"/>
    <n v="1543"/>
    <n v="13781.05696"/>
    <b v="1"/>
    <n v="14"/>
    <b v="0"/>
    <n v="100013.6577"/>
    <n v="2662"/>
    <n v="9914"/>
    <s v="Understock"/>
    <n v="0.30240420736288504"/>
    <s v="Medium"/>
    <n v="17.119325416149067"/>
    <n v="0.26850917893887433"/>
    <s v="Under Utilized"/>
    <n v="0"/>
  </r>
  <r>
    <x v="304"/>
    <s v="West"/>
    <x v="1"/>
    <s v="Supplier D"/>
    <x v="1"/>
    <x v="2"/>
    <n v="995"/>
    <n v="3781"/>
    <n v="1371.574063"/>
    <b v="1"/>
    <n v="17"/>
    <b v="1"/>
    <n v="107431.7703"/>
    <n v="3450"/>
    <n v="8978"/>
    <s v="Overstock"/>
    <n v="0.28840579710144926"/>
    <s v="Slow"/>
    <n v="1.3784663949748743"/>
    <n v="0.3842726665181555"/>
    <s v="Under Utilized"/>
    <n v="1"/>
  </r>
  <r>
    <x v="305"/>
    <s v="West"/>
    <x v="1"/>
    <s v="Supplier D"/>
    <x v="0"/>
    <x v="0"/>
    <n v="341"/>
    <n v="3119"/>
    <n v="7800.9459139999999"/>
    <b v="1"/>
    <n v="28"/>
    <b v="0"/>
    <n v="10231.418949999999"/>
    <n v="3764.5"/>
    <n v="9822"/>
    <s v="Understock"/>
    <n v="9.0583078762119809E-2"/>
    <s v="Slow"/>
    <n v="22.876674234604106"/>
    <n v="0.3832722459784158"/>
    <s v="Under Utilized"/>
    <n v="0"/>
  </r>
  <r>
    <x v="306"/>
    <s v="North"/>
    <x v="3"/>
    <s v="Supplier A"/>
    <x v="0"/>
    <x v="1"/>
    <n v="969"/>
    <n v="4410"/>
    <n v="9665.7752130000008"/>
    <b v="1"/>
    <n v="9"/>
    <b v="0"/>
    <n v="143976.6262"/>
    <n v="4704.5"/>
    <n v="5430"/>
    <s v="Understock"/>
    <n v="0.20597300457009246"/>
    <s v="Medium"/>
    <n v="9.9750002198142429"/>
    <n v="0.86639042357274398"/>
    <s v="Over Utilized"/>
    <n v="0"/>
  </r>
  <r>
    <x v="307"/>
    <s v="North"/>
    <x v="3"/>
    <s v="Supplier A"/>
    <x v="2"/>
    <x v="2"/>
    <n v="814"/>
    <n v="4999"/>
    <n v="12111.63898"/>
    <b v="1"/>
    <n v="6"/>
    <b v="0"/>
    <n v="60729.764430000003"/>
    <n v="4542"/>
    <n v="9766"/>
    <s v="Overstock"/>
    <n v="0.17921620431527963"/>
    <s v="Fast"/>
    <n v="14.879163366093366"/>
    <n v="0.46508294081507268"/>
    <s v="Optimal"/>
    <n v="0"/>
  </r>
  <r>
    <x v="308"/>
    <s v="East"/>
    <x v="0"/>
    <s v="Supplier D"/>
    <x v="0"/>
    <x v="0"/>
    <n v="569"/>
    <n v="4085"/>
    <n v="4225.2571280000002"/>
    <b v="1"/>
    <n v="28"/>
    <b v="1"/>
    <n v="52031.719250000002"/>
    <n v="3118"/>
    <n v="5790"/>
    <s v="Overstock"/>
    <n v="0.18248877485567672"/>
    <s v="Slow"/>
    <n v="7.4257594516695962"/>
    <n v="0.53851468048359241"/>
    <s v="Optimal"/>
    <n v="1"/>
  </r>
  <r>
    <x v="309"/>
    <s v="East"/>
    <x v="3"/>
    <s v="Supplier C"/>
    <x v="1"/>
    <x v="2"/>
    <n v="340"/>
    <n v="2151"/>
    <n v="9626.6438109999999"/>
    <b v="1"/>
    <n v="2"/>
    <b v="0"/>
    <n v="8255.1341809999994"/>
    <n v="1632"/>
    <n v="7306"/>
    <s v="Overstock"/>
    <n v="0.20833333333333334"/>
    <s v="Fast"/>
    <n v="28.31365826764706"/>
    <n v="0.22337804544210238"/>
    <s v="Under Utilized"/>
    <n v="0"/>
  </r>
  <r>
    <x v="310"/>
    <s v="North"/>
    <x v="2"/>
    <s v="Supplier D"/>
    <x v="1"/>
    <x v="0"/>
    <n v="238"/>
    <n v="1113"/>
    <n v="8353.1553810000005"/>
    <b v="1"/>
    <n v="4"/>
    <b v="0"/>
    <n v="29308.517820000001"/>
    <n v="1891"/>
    <n v="7961"/>
    <s v="Understock"/>
    <n v="0.12585933368588048"/>
    <s v="Fast"/>
    <n v="35.097291516806727"/>
    <n v="0.23753297324456726"/>
    <s v="Under Utilized"/>
    <n v="0"/>
  </r>
  <r>
    <x v="311"/>
    <s v="West"/>
    <x v="0"/>
    <s v="Supplier B"/>
    <x v="0"/>
    <x v="2"/>
    <n v="506"/>
    <n v="2669"/>
    <n v="13637.276529999999"/>
    <b v="1"/>
    <n v="21"/>
    <b v="0"/>
    <n v="20119.031419999999"/>
    <n v="3585.5"/>
    <n v="6557"/>
    <s v="Understock"/>
    <n v="0.14112397155208478"/>
    <s v="Slow"/>
    <n v="26.951139387351777"/>
    <n v="0.54682019216104927"/>
    <s v="Optimal"/>
    <n v="0"/>
  </r>
  <r>
    <x v="312"/>
    <s v="South"/>
    <x v="2"/>
    <s v="Supplier B"/>
    <x v="1"/>
    <x v="2"/>
    <n v="227"/>
    <n v="4502"/>
    <n v="12802.992039999999"/>
    <b v="1"/>
    <n v="5"/>
    <b v="0"/>
    <n v="4805.3863540000002"/>
    <n v="4439.5"/>
    <n v="6317"/>
    <s v="Overstock"/>
    <n v="5.1131884221196078E-2"/>
    <s v="Fast"/>
    <n v="56.400845991189421"/>
    <n v="0.70278613265790724"/>
    <s v="Optimal"/>
    <n v="0"/>
  </r>
  <r>
    <x v="313"/>
    <s v="North"/>
    <x v="3"/>
    <s v="Supplier B"/>
    <x v="0"/>
    <x v="0"/>
    <n v="527"/>
    <n v="4377"/>
    <n v="3531.3428669999998"/>
    <b v="1"/>
    <n v="6"/>
    <b v="1"/>
    <n v="57739.978170000002"/>
    <n v="4071.5"/>
    <n v="7970"/>
    <s v="Overstock"/>
    <n v="0.12943632567849686"/>
    <s v="Fast"/>
    <n v="6.700840354838709"/>
    <n v="0.51085319949811792"/>
    <s v="Optimal"/>
    <n v="1"/>
  </r>
  <r>
    <x v="314"/>
    <s v="North"/>
    <x v="2"/>
    <s v="Supplier D"/>
    <x v="0"/>
    <x v="0"/>
    <n v="120"/>
    <n v="3766"/>
    <n v="5012.3236980000001"/>
    <b v="1"/>
    <n v="16"/>
    <b v="0"/>
    <n v="22555.734759999999"/>
    <n v="2043"/>
    <n v="7443"/>
    <s v="Overstock"/>
    <n v="5.8737151248164463E-2"/>
    <s v="Slow"/>
    <n v="41.769364150000001"/>
    <n v="0.27448609431680776"/>
    <s v="Under Utilized"/>
    <n v="0"/>
  </r>
  <r>
    <x v="315"/>
    <s v="West"/>
    <x v="2"/>
    <s v="Supplier A"/>
    <x v="2"/>
    <x v="2"/>
    <n v="562"/>
    <n v="320"/>
    <n v="13834.706169999999"/>
    <b v="1"/>
    <n v="20"/>
    <b v="0"/>
    <n v="103420.57460000001"/>
    <n v="1433"/>
    <n v="8370"/>
    <s v="Understock"/>
    <n v="0.39218422889043963"/>
    <s v="Slow"/>
    <n v="24.616914893238434"/>
    <n v="0.17120669056152926"/>
    <s v="Under Utilized"/>
    <n v="0"/>
  </r>
  <r>
    <x v="316"/>
    <s v="West"/>
    <x v="3"/>
    <s v="Supplier B"/>
    <x v="1"/>
    <x v="2"/>
    <n v="309"/>
    <n v="2546"/>
    <n v="14347.832329999999"/>
    <b v="1"/>
    <n v="16"/>
    <b v="0"/>
    <n v="17981.472880000001"/>
    <n v="1650"/>
    <n v="7630"/>
    <s v="Overstock"/>
    <n v="0.18727272727272729"/>
    <s v="Slow"/>
    <n v="46.433114336569574"/>
    <n v="0.21625163826998689"/>
    <s v="Under Utilized"/>
    <n v="0"/>
  </r>
  <r>
    <x v="317"/>
    <s v="East"/>
    <x v="2"/>
    <s v="Supplier A"/>
    <x v="2"/>
    <x v="0"/>
    <n v="779"/>
    <n v="754"/>
    <n v="6988.7535930000004"/>
    <b v="1"/>
    <n v="25"/>
    <b v="0"/>
    <n v="71276.408209999994"/>
    <n v="2255.5"/>
    <n v="7310"/>
    <s v="Understock"/>
    <n v="0.34537796497450673"/>
    <s v="Slow"/>
    <n v="8.9714423530166894"/>
    <n v="0.30854993160054722"/>
    <s v="Under Utilized"/>
    <n v="0"/>
  </r>
  <r>
    <x v="318"/>
    <s v="South"/>
    <x v="0"/>
    <s v="Supplier A"/>
    <x v="2"/>
    <x v="0"/>
    <n v="551"/>
    <n v="3757"/>
    <n v="6978.3633090000003"/>
    <b v="1"/>
    <n v="24"/>
    <b v="0"/>
    <n v="90463.997560000003"/>
    <n v="2312"/>
    <n v="7442"/>
    <s v="Overstock"/>
    <n v="0.23832179930795847"/>
    <s v="Slow"/>
    <n v="12.66490618693285"/>
    <n v="0.31066917495296964"/>
    <s v="Under Utilized"/>
    <n v="0"/>
  </r>
  <r>
    <x v="319"/>
    <s v="North"/>
    <x v="2"/>
    <s v="Supplier D"/>
    <x v="2"/>
    <x v="0"/>
    <n v="476"/>
    <n v="867"/>
    <n v="11750.1482"/>
    <b v="1"/>
    <n v="25"/>
    <b v="0"/>
    <n v="60424.327250000002"/>
    <n v="2069.5"/>
    <n v="7959"/>
    <s v="Understock"/>
    <n v="0.23000724812756704"/>
    <s v="Slow"/>
    <n v="24.685185294117645"/>
    <n v="0.26002010302801859"/>
    <s v="Under Utilized"/>
    <n v="0"/>
  </r>
  <r>
    <x v="320"/>
    <s v="North"/>
    <x v="0"/>
    <s v="Supplier D"/>
    <x v="2"/>
    <x v="0"/>
    <n v="693"/>
    <n v="3272"/>
    <n v="2657.726361"/>
    <b v="1"/>
    <n v="25"/>
    <b v="1"/>
    <n v="129927.7748"/>
    <n v="2297.5"/>
    <n v="9369"/>
    <s v="Overstock"/>
    <n v="0.30163220892274212"/>
    <s v="Slow"/>
    <n v="3.8351029740259741"/>
    <n v="0.2452236097769239"/>
    <s v="Under Utilized"/>
    <n v="1"/>
  </r>
  <r>
    <x v="321"/>
    <s v="North"/>
    <x v="1"/>
    <s v="Supplier D"/>
    <x v="2"/>
    <x v="0"/>
    <n v="962"/>
    <n v="1323"/>
    <n v="646.65925909999999"/>
    <b v="1"/>
    <n v="27"/>
    <b v="1"/>
    <n v="63639.192490000001"/>
    <n v="2531"/>
    <n v="8544"/>
    <s v="Understock"/>
    <n v="0.38008692216515211"/>
    <s v="Slow"/>
    <n v="0.67220297203742208"/>
    <n v="0.29623127340823968"/>
    <s v="Under Utilized"/>
    <n v="1"/>
  </r>
  <r>
    <x v="322"/>
    <s v="South"/>
    <x v="1"/>
    <s v="Supplier D"/>
    <x v="1"/>
    <x v="0"/>
    <n v="565"/>
    <n v="3739"/>
    <n v="3042.3465000000001"/>
    <b v="1"/>
    <n v="6"/>
    <b v="0"/>
    <n v="101900.15330000001"/>
    <n v="4002.5"/>
    <n v="5008"/>
    <s v="Understock"/>
    <n v="0.14116177389131793"/>
    <s v="Fast"/>
    <n v="5.3846840707964603"/>
    <n v="0.79922124600638977"/>
    <s v="Optimal"/>
    <n v="0"/>
  </r>
  <r>
    <x v="323"/>
    <s v="South"/>
    <x v="0"/>
    <s v="Supplier A"/>
    <x v="1"/>
    <x v="0"/>
    <n v="979"/>
    <n v="4266"/>
    <n v="14990.376060000001"/>
    <b v="1"/>
    <n v="29"/>
    <b v="1"/>
    <n v="136976.52350000001"/>
    <n v="2455"/>
    <n v="8873"/>
    <s v="Overstock"/>
    <n v="0.39877800407331976"/>
    <s v="Slow"/>
    <n v="15.311926516853934"/>
    <n v="0.27668206919869265"/>
    <s v="Under Utilized"/>
    <n v="1"/>
  </r>
  <r>
    <x v="324"/>
    <s v="East"/>
    <x v="1"/>
    <s v="Supplier B"/>
    <x v="0"/>
    <x v="0"/>
    <n v="237"/>
    <n v="644"/>
    <n v="4389.630204"/>
    <b v="1"/>
    <n v="21"/>
    <b v="0"/>
    <n v="17808.65958"/>
    <n v="974"/>
    <n v="8552"/>
    <s v="Understock"/>
    <n v="0.2433264887063655"/>
    <s v="Slow"/>
    <n v="18.521646430379747"/>
    <n v="0.11389148737137511"/>
    <s v="Under Utilized"/>
    <n v="0"/>
  </r>
  <r>
    <x v="325"/>
    <s v="South"/>
    <x v="1"/>
    <s v="Supplier D"/>
    <x v="2"/>
    <x v="1"/>
    <n v="998"/>
    <n v="1304"/>
    <n v="10619.033729999999"/>
    <b v="0"/>
    <n v="9"/>
    <b v="1"/>
    <n v="24301.962060000002"/>
    <n v="2143.5"/>
    <n v="7348"/>
    <s v="Understock"/>
    <n v="0.46559365523676233"/>
    <s v="Medium"/>
    <n v="10.640314358717434"/>
    <n v="0.29171203048448557"/>
    <s v="Under Utilized"/>
    <n v="1"/>
  </r>
  <r>
    <x v="326"/>
    <s v="North"/>
    <x v="3"/>
    <s v="Supplier C"/>
    <x v="2"/>
    <x v="0"/>
    <n v="797"/>
    <n v="2983"/>
    <n v="6504.9069609999997"/>
    <b v="1"/>
    <n v="11"/>
    <b v="0"/>
    <n v="154072.23050000001"/>
    <n v="1752"/>
    <n v="8041"/>
    <s v="Overstock"/>
    <n v="0.45490867579908678"/>
    <s v="Medium"/>
    <n v="8.1617402271016299"/>
    <n v="0.21788334784230817"/>
    <s v="Under Utilized"/>
    <n v="0"/>
  </r>
  <r>
    <x v="327"/>
    <s v="South"/>
    <x v="0"/>
    <s v="Supplier D"/>
    <x v="0"/>
    <x v="0"/>
    <n v="562"/>
    <n v="521"/>
    <n v="13088.944600000001"/>
    <b v="1"/>
    <n v="19"/>
    <b v="1"/>
    <n v="53458.91562"/>
    <n v="843"/>
    <n v="8204"/>
    <s v="Understock"/>
    <n v="0.66666666666666663"/>
    <s v="Slow"/>
    <n v="23.289937010676159"/>
    <n v="0.10275475377864457"/>
    <s v="Under Utilized"/>
    <n v="1"/>
  </r>
  <r>
    <x v="328"/>
    <s v="West"/>
    <x v="1"/>
    <s v="Supplier C"/>
    <x v="0"/>
    <x v="0"/>
    <n v="722"/>
    <n v="1165"/>
    <n v="12466.105670000001"/>
    <b v="0"/>
    <n v="6"/>
    <b v="1"/>
    <n v="134443.07149999999"/>
    <n v="1951"/>
    <n v="7703"/>
    <s v="Understock"/>
    <n v="0.37006663249615585"/>
    <s v="Fast"/>
    <n v="17.266074335180058"/>
    <n v="0.25327794365831496"/>
    <s v="Under Utilized"/>
    <n v="1"/>
  </r>
  <r>
    <x v="329"/>
    <s v="North"/>
    <x v="2"/>
    <s v="Supplier A"/>
    <x v="0"/>
    <x v="0"/>
    <n v="869"/>
    <n v="2737"/>
    <n v="12183.57682"/>
    <b v="1"/>
    <n v="12"/>
    <b v="0"/>
    <n v="68251.098750000005"/>
    <n v="1703"/>
    <n v="8088"/>
    <s v="Overstock"/>
    <n v="0.51027598355842629"/>
    <s v="Medium"/>
    <n v="14.020226490218642"/>
    <n v="0.21055885262116716"/>
    <s v="Under Utilized"/>
    <n v="0"/>
  </r>
  <r>
    <x v="330"/>
    <s v="South"/>
    <x v="1"/>
    <s v="Supplier B"/>
    <x v="2"/>
    <x v="0"/>
    <n v="791"/>
    <n v="669"/>
    <n v="9713.7048500000001"/>
    <b v="1"/>
    <n v="17"/>
    <b v="1"/>
    <n v="63594.319349999998"/>
    <n v="1592"/>
    <n v="7078"/>
    <s v="Understock"/>
    <n v="0.49685929648241206"/>
    <s v="Slow"/>
    <n v="12.280284260429836"/>
    <n v="0.22492229443345577"/>
    <s v="Under Utilized"/>
    <n v="1"/>
  </r>
  <r>
    <x v="331"/>
    <s v="East"/>
    <x v="3"/>
    <s v="Supplier D"/>
    <x v="0"/>
    <x v="0"/>
    <n v="355"/>
    <n v="2515"/>
    <n v="10244.286550000001"/>
    <b v="1"/>
    <n v="10"/>
    <b v="0"/>
    <n v="67731.249079999994"/>
    <n v="2001.5"/>
    <n v="8400"/>
    <s v="Overstock"/>
    <n v="0.1773669747689233"/>
    <s v="Medium"/>
    <n v="28.857145211267607"/>
    <n v="0.23827380952380953"/>
    <s v="Under Utilized"/>
    <n v="0"/>
  </r>
  <r>
    <x v="332"/>
    <s v="South"/>
    <x v="2"/>
    <s v="Supplier C"/>
    <x v="1"/>
    <x v="1"/>
    <n v="430"/>
    <n v="1488"/>
    <n v="2025.6835510000001"/>
    <b v="1"/>
    <n v="9"/>
    <b v="0"/>
    <n v="24902.8953"/>
    <n v="2126.5"/>
    <n v="8127"/>
    <s v="Understock"/>
    <n v="0.202210204561486"/>
    <s v="Medium"/>
    <n v="4.7108919790697676"/>
    <n v="0.26165866863541282"/>
    <s v="Under Utilized"/>
    <n v="0"/>
  </r>
  <r>
    <x v="333"/>
    <s v="North"/>
    <x v="0"/>
    <s v="Supplier D"/>
    <x v="2"/>
    <x v="2"/>
    <n v="545"/>
    <n v="2765"/>
    <n v="10139.86087"/>
    <b v="1"/>
    <n v="20"/>
    <b v="0"/>
    <n v="66209.112670000002"/>
    <n v="2366.5"/>
    <n v="5224"/>
    <s v="Overstock"/>
    <n v="0.23029790830340166"/>
    <s v="Slow"/>
    <n v="18.605249302752295"/>
    <n v="0.45300535987748852"/>
    <s v="Optimal"/>
    <n v="0"/>
  </r>
  <r>
    <x v="334"/>
    <s v="North"/>
    <x v="0"/>
    <s v="Supplier D"/>
    <x v="0"/>
    <x v="2"/>
    <n v="440"/>
    <n v="1968"/>
    <n v="13554.527470000001"/>
    <b v="1"/>
    <n v="11"/>
    <b v="0"/>
    <n v="13291.008390000001"/>
    <n v="1472.5"/>
    <n v="6625"/>
    <s v="Overstock"/>
    <n v="0.29881154499151102"/>
    <s v="Medium"/>
    <n v="30.805744250000004"/>
    <n v="0.22226415094339622"/>
    <s v="Under Utilized"/>
    <n v="0"/>
  </r>
  <r>
    <x v="335"/>
    <s v="West"/>
    <x v="1"/>
    <s v="Supplier D"/>
    <x v="1"/>
    <x v="0"/>
    <n v="490"/>
    <n v="977"/>
    <n v="11555.44557"/>
    <b v="1"/>
    <n v="16"/>
    <b v="0"/>
    <n v="69788.598740000001"/>
    <n v="1803"/>
    <n v="9419"/>
    <s v="Understock"/>
    <n v="0.27176927343316692"/>
    <s v="Slow"/>
    <n v="23.582541979591838"/>
    <n v="0.19142159464911349"/>
    <s v="Under Utilized"/>
    <n v="0"/>
  </r>
  <r>
    <x v="336"/>
    <s v="South"/>
    <x v="0"/>
    <s v="Supplier D"/>
    <x v="0"/>
    <x v="0"/>
    <n v="699"/>
    <n v="2629"/>
    <n v="6509.2936810000001"/>
    <b v="1"/>
    <n v="14"/>
    <b v="0"/>
    <n v="37114.931149999997"/>
    <n v="1462.5"/>
    <n v="8696"/>
    <s v="Overstock"/>
    <n v="0.47794871794871796"/>
    <s v="Medium"/>
    <n v="9.3122942503576542"/>
    <n v="0.16818077276908924"/>
    <s v="Under Utilized"/>
    <n v="0"/>
  </r>
  <r>
    <x v="337"/>
    <s v="South"/>
    <x v="1"/>
    <s v="Supplier A"/>
    <x v="2"/>
    <x v="2"/>
    <n v="379"/>
    <n v="296"/>
    <n v="2322.7356439999999"/>
    <b v="1"/>
    <n v="21"/>
    <b v="0"/>
    <n v="30414.7817"/>
    <n v="247"/>
    <n v="9044"/>
    <s v="Overstock"/>
    <n v="1.534412955465587"/>
    <s v="Slow"/>
    <n v="6.1285900897097623"/>
    <n v="2.7310924369747899E-2"/>
    <s v="Under Utilized"/>
    <n v="0"/>
  </r>
  <r>
    <x v="338"/>
    <s v="North"/>
    <x v="3"/>
    <s v="Supplier D"/>
    <x v="1"/>
    <x v="0"/>
    <n v="218"/>
    <n v="198"/>
    <n v="1868.7634009999999"/>
    <b v="1"/>
    <n v="12"/>
    <b v="0"/>
    <n v="5061.3573500000002"/>
    <n v="1840.5"/>
    <n v="6231"/>
    <s v="Understock"/>
    <n v="0.11844607443629449"/>
    <s v="Medium"/>
    <n v="8.5723091788990828"/>
    <n v="0.29537794896485314"/>
    <s v="Under Utilized"/>
    <n v="0"/>
  </r>
  <r>
    <x v="339"/>
    <s v="West"/>
    <x v="2"/>
    <s v="Supplier D"/>
    <x v="2"/>
    <x v="0"/>
    <n v="771"/>
    <n v="3483"/>
    <n v="6611.9121459999997"/>
    <b v="1"/>
    <n v="2"/>
    <b v="0"/>
    <n v="84193.218710000001"/>
    <n v="3981"/>
    <n v="9565"/>
    <s v="Understock"/>
    <n v="0.19366993217784476"/>
    <s v="Fast"/>
    <n v="8.5757615382619967"/>
    <n v="0.41620491374803975"/>
    <s v="Optimal"/>
    <n v="0"/>
  </r>
  <r>
    <x v="340"/>
    <s v="East"/>
    <x v="1"/>
    <s v="Supplier C"/>
    <x v="2"/>
    <x v="2"/>
    <n v="898"/>
    <n v="4479"/>
    <n v="4375.250935"/>
    <b v="1"/>
    <n v="7"/>
    <b v="1"/>
    <n v="121347.712"/>
    <n v="4172"/>
    <n v="8800"/>
    <s v="Overstock"/>
    <n v="0.2152444870565676"/>
    <s v="Fast"/>
    <n v="4.8722170768374164"/>
    <n v="0.47409090909090912"/>
    <s v="Optimal"/>
    <n v="1"/>
  </r>
  <r>
    <x v="341"/>
    <s v="South"/>
    <x v="3"/>
    <s v="Supplier A"/>
    <x v="2"/>
    <x v="0"/>
    <n v="327"/>
    <n v="3865"/>
    <n v="6102.3379880000002"/>
    <b v="1"/>
    <n v="8"/>
    <b v="0"/>
    <n v="41484.453269999998"/>
    <n v="3384"/>
    <n v="6673"/>
    <s v="Overstock"/>
    <n v="9.6631205673758866E-2"/>
    <s v="Medium"/>
    <n v="18.661584061162081"/>
    <n v="0.50711823767420949"/>
    <s v="Optimal"/>
    <n v="0"/>
  </r>
  <r>
    <x v="342"/>
    <s v="East"/>
    <x v="1"/>
    <s v="Supplier B"/>
    <x v="0"/>
    <x v="0"/>
    <n v="568"/>
    <n v="2903"/>
    <n v="14694.333559999999"/>
    <b v="1"/>
    <n v="12"/>
    <b v="0"/>
    <n v="68930.758969999995"/>
    <n v="3000"/>
    <n v="5348"/>
    <s v="Understock"/>
    <n v="0.18933333333333333"/>
    <s v="Medium"/>
    <n v="25.870305563380281"/>
    <n v="0.56095736724008971"/>
    <s v="Optimal"/>
    <n v="0"/>
  </r>
  <r>
    <x v="343"/>
    <s v="East"/>
    <x v="3"/>
    <s v="Supplier B"/>
    <x v="2"/>
    <x v="2"/>
    <n v="539"/>
    <n v="3097"/>
    <n v="3943.5476140000001"/>
    <b v="1"/>
    <n v="6"/>
    <b v="1"/>
    <n v="57531.355710000003"/>
    <n v="3552.5"/>
    <n v="6004"/>
    <s v="Understock"/>
    <n v="0.15172413793103448"/>
    <s v="Fast"/>
    <n v="7.3164148682745829"/>
    <n v="0.59168887408394399"/>
    <s v="Optimal"/>
    <n v="1"/>
  </r>
  <r>
    <x v="344"/>
    <s v="North"/>
    <x v="1"/>
    <s v="Supplier B"/>
    <x v="2"/>
    <x v="0"/>
    <n v="266"/>
    <n v="4008"/>
    <n v="13136.583860000001"/>
    <b v="1"/>
    <n v="15"/>
    <b v="0"/>
    <n v="47350.604200000002"/>
    <n v="3339.5"/>
    <n v="8300"/>
    <s v="Overstock"/>
    <n v="7.9652642611169333E-2"/>
    <s v="Slow"/>
    <n v="49.385653609022562"/>
    <n v="0.40234939759036142"/>
    <s v="Optimal"/>
    <n v="0"/>
  </r>
  <r>
    <x v="345"/>
    <s v="East"/>
    <x v="1"/>
    <s v="Supplier D"/>
    <x v="2"/>
    <x v="0"/>
    <n v="136"/>
    <n v="2671"/>
    <n v="10397.689560000001"/>
    <b v="1"/>
    <n v="16"/>
    <b v="0"/>
    <n v="8226.7770739999996"/>
    <n v="2263"/>
    <n v="8323"/>
    <s v="Overstock"/>
    <n v="6.0097216084843127E-2"/>
    <s v="Slow"/>
    <n v="76.453599705882354"/>
    <n v="0.27189715246906165"/>
    <s v="Under Utilized"/>
    <n v="0"/>
  </r>
  <r>
    <x v="346"/>
    <s v="East"/>
    <x v="0"/>
    <s v="Supplier C"/>
    <x v="1"/>
    <x v="0"/>
    <n v="369"/>
    <n v="1855"/>
    <n v="5073.5376729999998"/>
    <b v="1"/>
    <n v="1"/>
    <b v="0"/>
    <n v="28702.249779999998"/>
    <n v="1481"/>
    <n v="6226"/>
    <s v="Overstock"/>
    <n v="0.24915597569209993"/>
    <s v="Fast"/>
    <n v="13.749424588075881"/>
    <n v="0.2378734339865082"/>
    <s v="Under Utilized"/>
    <n v="0"/>
  </r>
  <r>
    <x v="347"/>
    <s v="North"/>
    <x v="3"/>
    <s v="Supplier A"/>
    <x v="1"/>
    <x v="0"/>
    <n v="471"/>
    <n v="1107"/>
    <n v="10195.72783"/>
    <b v="1"/>
    <n v="21"/>
    <b v="0"/>
    <n v="23073.498100000001"/>
    <n v="731"/>
    <n v="9347"/>
    <s v="Overstock"/>
    <n v="0.64432284541723661"/>
    <s v="Slow"/>
    <n v="21.646980530785562"/>
    <n v="7.8206911308441207E-2"/>
    <s v="Under Utilized"/>
    <n v="0"/>
  </r>
  <r>
    <x v="348"/>
    <s v="South"/>
    <x v="1"/>
    <s v="Supplier C"/>
    <x v="1"/>
    <x v="0"/>
    <n v="555"/>
    <n v="355"/>
    <n v="6913.8641420000004"/>
    <b v="1"/>
    <n v="26"/>
    <b v="1"/>
    <n v="58768.288639999999"/>
    <n v="2453.5"/>
    <n v="5247"/>
    <s v="Understock"/>
    <n v="0.22620745873242307"/>
    <s v="Slow"/>
    <n v="12.457412868468468"/>
    <n v="0.46760053363826948"/>
    <s v="Optimal"/>
    <n v="1"/>
  </r>
  <r>
    <x v="349"/>
    <s v="East"/>
    <x v="3"/>
    <s v="Supplier C"/>
    <x v="1"/>
    <x v="0"/>
    <n v="293"/>
    <n v="4552"/>
    <n v="6681.3169019999996"/>
    <b v="0"/>
    <n v="23"/>
    <b v="0"/>
    <n v="41610.790809999999"/>
    <n v="4681.5"/>
    <n v="8191"/>
    <s v="Understock"/>
    <n v="6.258677774217665E-2"/>
    <s v="Slow"/>
    <n v="22.803129358361772"/>
    <n v="0.5715419362715175"/>
    <s v="Optimal"/>
    <n v="0"/>
  </r>
  <r>
    <x v="350"/>
    <s v="South"/>
    <x v="2"/>
    <s v="Supplier A"/>
    <x v="0"/>
    <x v="0"/>
    <n v="295"/>
    <n v="4811"/>
    <n v="1612.489292"/>
    <b v="0"/>
    <n v="16"/>
    <b v="0"/>
    <n v="6423.6046749999996"/>
    <n v="4537"/>
    <n v="7795"/>
    <s v="Overstock"/>
    <n v="6.5020938946440385E-2"/>
    <s v="Slow"/>
    <n v="5.4660653966101691"/>
    <n v="0.58203976908274535"/>
    <s v="Optimal"/>
    <n v="0"/>
  </r>
  <r>
    <x v="351"/>
    <s v="East"/>
    <x v="1"/>
    <s v="Supplier A"/>
    <x v="0"/>
    <x v="0"/>
    <n v="625"/>
    <n v="4263"/>
    <n v="5719.8900720000001"/>
    <b v="1"/>
    <n v="27"/>
    <b v="0"/>
    <n v="113118.0961"/>
    <n v="2308.5"/>
    <n v="8947"/>
    <s v="Overstock"/>
    <n v="0.27073857483214209"/>
    <s v="Slow"/>
    <n v="9.1518241152000002"/>
    <n v="0.25801944785961772"/>
    <s v="Under Utilized"/>
    <n v="0"/>
  </r>
  <r>
    <x v="352"/>
    <s v="South"/>
    <x v="1"/>
    <s v="Supplier A"/>
    <x v="2"/>
    <x v="0"/>
    <n v="230"/>
    <n v="354"/>
    <n v="10762.42151"/>
    <b v="1"/>
    <n v="13"/>
    <b v="0"/>
    <n v="20284.285039999999"/>
    <n v="2369"/>
    <n v="5388"/>
    <s v="Understock"/>
    <n v="9.7087378640776698E-2"/>
    <s v="Medium"/>
    <n v="46.793137000000002"/>
    <n v="0.43968077208611728"/>
    <s v="Optimal"/>
    <n v="0"/>
  </r>
  <r>
    <x v="353"/>
    <s v="South"/>
    <x v="3"/>
    <s v="Supplier D"/>
    <x v="0"/>
    <x v="0"/>
    <n v="608"/>
    <n v="4384"/>
    <n v="10432.58826"/>
    <b v="1"/>
    <n v="12"/>
    <b v="1"/>
    <n v="32267.22957"/>
    <n v="2736.5"/>
    <n v="9684"/>
    <s v="Overstock"/>
    <n v="0.22218161885620319"/>
    <s v="Medium"/>
    <n v="17.158862269736844"/>
    <n v="0.28257951259809994"/>
    <s v="Under Utilized"/>
    <n v="1"/>
  </r>
  <r>
    <x v="354"/>
    <s v="North"/>
    <x v="0"/>
    <s v="Supplier B"/>
    <x v="2"/>
    <x v="1"/>
    <n v="556"/>
    <n v="1089"/>
    <n v="1723.3779979999999"/>
    <b v="1"/>
    <n v="16"/>
    <b v="1"/>
    <n v="39856.154269999999"/>
    <n v="1935.5"/>
    <n v="6885"/>
    <s v="Understock"/>
    <n v="0.28726427279772671"/>
    <s v="Slow"/>
    <n v="3.099600715827338"/>
    <n v="0.28111837327523603"/>
    <s v="Under Utilized"/>
    <n v="1"/>
  </r>
  <r>
    <x v="355"/>
    <s v="North"/>
    <x v="0"/>
    <s v="Supplier D"/>
    <x v="1"/>
    <x v="0"/>
    <n v="667"/>
    <n v="2782"/>
    <n v="5061.1801880000003"/>
    <b v="1"/>
    <n v="11"/>
    <b v="0"/>
    <n v="116128.9068"/>
    <n v="3820"/>
    <n v="7433"/>
    <s v="Understock"/>
    <n v="0.17460732984293192"/>
    <s v="Medium"/>
    <n v="7.5879762938530737"/>
    <n v="0.51392439122830624"/>
    <s v="Optimal"/>
    <n v="0"/>
  </r>
  <r>
    <x v="356"/>
    <s v="East"/>
    <x v="1"/>
    <s v="Supplier B"/>
    <x v="2"/>
    <x v="0"/>
    <n v="407"/>
    <n v="4858"/>
    <n v="8648.2475950000007"/>
    <b v="1"/>
    <n v="26"/>
    <b v="0"/>
    <n v="55965.107250000001"/>
    <n v="3733"/>
    <n v="7987"/>
    <s v="Overstock"/>
    <n v="0.10902759174926333"/>
    <s v="Slow"/>
    <n v="21.248765589680591"/>
    <n v="0.46738449981219482"/>
    <s v="Optimal"/>
    <n v="0"/>
  </r>
  <r>
    <x v="357"/>
    <s v="North"/>
    <x v="2"/>
    <s v="Supplier D"/>
    <x v="1"/>
    <x v="0"/>
    <n v="996"/>
    <n v="2608"/>
    <n v="3319.7210279999999"/>
    <b v="1"/>
    <n v="25"/>
    <b v="0"/>
    <n v="100463.3134"/>
    <n v="2333.5"/>
    <n v="5582"/>
    <s v="Overstock"/>
    <n v="0.4268266552389115"/>
    <s v="Slow"/>
    <n v="3.3330532409638551"/>
    <n v="0.41804012898602649"/>
    <s v="Optimal"/>
    <n v="0"/>
  </r>
  <r>
    <x v="358"/>
    <s v="West"/>
    <x v="1"/>
    <s v="Supplier D"/>
    <x v="0"/>
    <x v="0"/>
    <n v="266"/>
    <n v="2059"/>
    <n v="5461.7028840000003"/>
    <b v="1"/>
    <n v="21"/>
    <b v="0"/>
    <n v="18321.56352"/>
    <n v="1834.5"/>
    <n v="7335"/>
    <s v="Overstock"/>
    <n v="0.1449986372308531"/>
    <s v="Slow"/>
    <n v="20.532717609022558"/>
    <n v="0.25010224948875254"/>
    <s v="Under Utilized"/>
    <n v="0"/>
  </r>
  <r>
    <x v="359"/>
    <s v="East"/>
    <x v="2"/>
    <s v="Supplier B"/>
    <x v="1"/>
    <x v="0"/>
    <n v="671"/>
    <n v="1610"/>
    <n v="5088.5913600000003"/>
    <b v="1"/>
    <n v="18"/>
    <b v="0"/>
    <n v="40580.413589999996"/>
    <n v="3012"/>
    <n v="9664"/>
    <s v="Understock"/>
    <n v="0.22277556440903054"/>
    <s v="Slow"/>
    <n v="7.583593681073026"/>
    <n v="0.3116721854304636"/>
    <s v="Under Utilized"/>
    <n v="0"/>
  </r>
  <r>
    <x v="360"/>
    <s v="North"/>
    <x v="1"/>
    <s v="Supplier C"/>
    <x v="0"/>
    <x v="0"/>
    <n v="128"/>
    <n v="4414"/>
    <n v="11062.12607"/>
    <b v="0"/>
    <n v="17"/>
    <b v="1"/>
    <n v="6983.494533"/>
    <n v="2761"/>
    <n v="5147"/>
    <s v="Overstock"/>
    <n v="4.6360014487504528E-2"/>
    <s v="Slow"/>
    <n v="86.422859921875002"/>
    <n v="0.53642898775986014"/>
    <s v="Optimal"/>
    <n v="1"/>
  </r>
  <r>
    <x v="361"/>
    <s v="West"/>
    <x v="3"/>
    <s v="Supplier B"/>
    <x v="2"/>
    <x v="2"/>
    <n v="734"/>
    <n v="1108"/>
    <n v="7515.8245649999999"/>
    <b v="1"/>
    <n v="11"/>
    <b v="0"/>
    <n v="75435.524810000003"/>
    <n v="1226"/>
    <n v="7668"/>
    <s v="Understock"/>
    <n v="0.59869494290375203"/>
    <s v="Medium"/>
    <n v="10.239543004087194"/>
    <n v="0.15988523735002608"/>
    <s v="Under Utilized"/>
    <n v="0"/>
  </r>
  <r>
    <x v="362"/>
    <s v="North"/>
    <x v="1"/>
    <s v="Supplier C"/>
    <x v="0"/>
    <x v="2"/>
    <n v="142"/>
    <n v="1344"/>
    <n v="13385.310649999999"/>
    <b v="1"/>
    <n v="24"/>
    <b v="0"/>
    <n v="11617.83095"/>
    <n v="2589"/>
    <n v="8821"/>
    <s v="Understock"/>
    <n v="5.4847431440710699E-2"/>
    <s v="Slow"/>
    <n v="94.262751056338018"/>
    <n v="0.29350413785285118"/>
    <s v="Under Utilized"/>
    <n v="0"/>
  </r>
  <r>
    <x v="363"/>
    <s v="East"/>
    <x v="3"/>
    <s v="Supplier A"/>
    <x v="2"/>
    <x v="0"/>
    <n v="549"/>
    <n v="3834"/>
    <n v="12804.795"/>
    <b v="1"/>
    <n v="8"/>
    <b v="0"/>
    <n v="35837.73156"/>
    <n v="4225"/>
    <n v="7956"/>
    <s v="Understock"/>
    <n v="0.12994082840236687"/>
    <s v="Medium"/>
    <n v="23.323852459016393"/>
    <n v="0.53104575163398693"/>
    <s v="Optimal"/>
    <n v="0"/>
  </r>
  <r>
    <x v="364"/>
    <s v="West"/>
    <x v="3"/>
    <s v="Supplier B"/>
    <x v="2"/>
    <x v="1"/>
    <n v="463"/>
    <n v="4616"/>
    <n v="9215.8219270000009"/>
    <b v="1"/>
    <n v="4"/>
    <b v="0"/>
    <n v="35098.768499999998"/>
    <n v="3860"/>
    <n v="6700"/>
    <s v="Overstock"/>
    <n v="0.11994818652849741"/>
    <s v="Fast"/>
    <n v="19.904582995680347"/>
    <n v="0.57611940298507458"/>
    <s v="Optimal"/>
    <n v="0"/>
  </r>
  <r>
    <x v="365"/>
    <s v="North"/>
    <x v="2"/>
    <s v="Supplier B"/>
    <x v="0"/>
    <x v="1"/>
    <n v="799"/>
    <n v="3104"/>
    <n v="5761.5543459999999"/>
    <b v="1"/>
    <n v="29"/>
    <b v="0"/>
    <n v="72334.862120000005"/>
    <n v="3662.5"/>
    <n v="7243"/>
    <s v="Understock"/>
    <n v="0.21815699658703072"/>
    <s v="Slow"/>
    <n v="7.2109566282853566"/>
    <n v="0.50566063785724147"/>
    <s v="Optimal"/>
    <n v="0"/>
  </r>
  <r>
    <x v="366"/>
    <s v="West"/>
    <x v="3"/>
    <s v="Supplier D"/>
    <x v="1"/>
    <x v="0"/>
    <n v="769"/>
    <n v="4221"/>
    <n v="695.94781339999997"/>
    <b v="1"/>
    <n v="18"/>
    <b v="0"/>
    <n v="90671.678190000006"/>
    <n v="3472.5"/>
    <n v="8485"/>
    <s v="Overstock"/>
    <n v="0.2214542836573074"/>
    <s v="Slow"/>
    <n v="0.90500365851755527"/>
    <n v="0.40925162050677666"/>
    <s v="Optimal"/>
    <n v="0"/>
  </r>
  <r>
    <x v="367"/>
    <s v="East"/>
    <x v="1"/>
    <s v="Supplier C"/>
    <x v="0"/>
    <x v="0"/>
    <n v="322"/>
    <n v="2724"/>
    <n v="7806.7388680000004"/>
    <b v="1"/>
    <n v="10"/>
    <b v="0"/>
    <n v="36858.378850000001"/>
    <n v="2790.5"/>
    <n v="9807"/>
    <s v="Understock"/>
    <n v="0.1153915068984053"/>
    <s v="Medium"/>
    <n v="24.244530645962733"/>
    <n v="0.28454165392066894"/>
    <s v="Under Utilized"/>
    <n v="0"/>
  </r>
  <r>
    <x v="368"/>
    <s v="North"/>
    <x v="2"/>
    <s v="Supplier B"/>
    <x v="0"/>
    <x v="0"/>
    <n v="397"/>
    <n v="2857"/>
    <n v="8701.2511520000007"/>
    <b v="1"/>
    <n v="13"/>
    <b v="1"/>
    <n v="79201.856039999999"/>
    <n v="2416.5"/>
    <n v="5387"/>
    <s v="Overstock"/>
    <n v="0.16428719222015312"/>
    <s v="Medium"/>
    <n v="21.917509198992445"/>
    <n v="0.44857991460924446"/>
    <s v="Optimal"/>
    <n v="1"/>
  </r>
  <r>
    <x v="369"/>
    <s v="North"/>
    <x v="1"/>
    <s v="Supplier B"/>
    <x v="1"/>
    <x v="1"/>
    <n v="847"/>
    <n v="1976"/>
    <n v="2872.4390870000002"/>
    <b v="1"/>
    <n v="21"/>
    <b v="1"/>
    <n v="96394.362129999994"/>
    <n v="2949.5"/>
    <n v="7339"/>
    <s v="Understock"/>
    <n v="0.28716731649432109"/>
    <s v="Slow"/>
    <n v="3.3913094297520665"/>
    <n v="0.40189399100694917"/>
    <s v="Optimal"/>
    <n v="1"/>
  </r>
  <r>
    <x v="370"/>
    <s v="West"/>
    <x v="0"/>
    <s v="Supplier B"/>
    <x v="2"/>
    <x v="1"/>
    <n v="596"/>
    <n v="3923"/>
    <n v="9652.227132"/>
    <b v="1"/>
    <n v="14"/>
    <b v="0"/>
    <n v="112864.70759999999"/>
    <n v="2138.5"/>
    <n v="6946"/>
    <s v="Overstock"/>
    <n v="0.27870002338087446"/>
    <s v="Medium"/>
    <n v="16.195011966442951"/>
    <n v="0.30787503599193783"/>
    <s v="Under Utilized"/>
    <n v="0"/>
  </r>
  <r>
    <x v="371"/>
    <s v="East"/>
    <x v="3"/>
    <s v="Supplier C"/>
    <x v="0"/>
    <x v="0"/>
    <n v="383"/>
    <n v="354"/>
    <n v="814.65138149999996"/>
    <b v="0"/>
    <n v="5"/>
    <b v="0"/>
    <n v="20785.022710000001"/>
    <n v="1940"/>
    <n v="8598"/>
    <s v="Understock"/>
    <n v="0.19742268041237113"/>
    <s v="Fast"/>
    <n v="2.127027105744125"/>
    <n v="0.22563386834147475"/>
    <s v="Under Utilized"/>
    <n v="0"/>
  </r>
  <r>
    <x v="372"/>
    <s v="South"/>
    <x v="0"/>
    <s v="Supplier B"/>
    <x v="2"/>
    <x v="0"/>
    <n v="831"/>
    <n v="3526"/>
    <n v="10696.39688"/>
    <b v="1"/>
    <n v="6"/>
    <b v="0"/>
    <n v="17941.067139999999"/>
    <n v="4068.5"/>
    <n v="9675"/>
    <s v="Understock"/>
    <n v="0.20425218139363402"/>
    <s v="Fast"/>
    <n v="12.871717063778581"/>
    <n v="0.42051679586563306"/>
    <s v="Optimal"/>
    <n v="0"/>
  </r>
  <r>
    <x v="373"/>
    <s v="East"/>
    <x v="1"/>
    <s v="Supplier A"/>
    <x v="0"/>
    <x v="0"/>
    <n v="213"/>
    <n v="4611"/>
    <n v="756.85083380000003"/>
    <b v="1"/>
    <n v="15"/>
    <b v="0"/>
    <n v="17085.534149999999"/>
    <n v="3841"/>
    <n v="6290"/>
    <s v="Overstock"/>
    <n v="5.5454308773756837E-2"/>
    <s v="Slow"/>
    <n v="3.5532902995305164"/>
    <n v="0.61065182829888709"/>
    <s v="Optimal"/>
    <n v="0"/>
  </r>
  <r>
    <x v="374"/>
    <s v="West"/>
    <x v="3"/>
    <s v="Supplier D"/>
    <x v="2"/>
    <x v="2"/>
    <n v="914"/>
    <n v="3071"/>
    <n v="5890.0412770000003"/>
    <b v="0"/>
    <n v="7"/>
    <b v="0"/>
    <n v="112053.57339999999"/>
    <n v="2484.5"/>
    <n v="6977"/>
    <s v="Overstock"/>
    <n v="0.36788086134030989"/>
    <s v="Fast"/>
    <n v="6.4442464737417948"/>
    <n v="0.35609860971764368"/>
    <s v="Under Utilized"/>
    <n v="0"/>
  </r>
  <r>
    <x v="375"/>
    <s v="West"/>
    <x v="2"/>
    <s v="Supplier B"/>
    <x v="2"/>
    <x v="0"/>
    <n v="516"/>
    <n v="1898"/>
    <n v="10681.2731"/>
    <b v="1"/>
    <n v="8"/>
    <b v="0"/>
    <n v="12179.785889999999"/>
    <n v="1378.5"/>
    <n v="8302"/>
    <s v="Overstock"/>
    <n v="0.37431991294885747"/>
    <s v="Medium"/>
    <n v="20.700141666666667"/>
    <n v="0.16604432666827271"/>
    <s v="Under Utilized"/>
    <n v="0"/>
  </r>
  <r>
    <x v="376"/>
    <s v="East"/>
    <x v="2"/>
    <s v="Supplier C"/>
    <x v="1"/>
    <x v="2"/>
    <n v="590"/>
    <n v="859"/>
    <n v="10244.761839999999"/>
    <b v="1"/>
    <n v="4"/>
    <b v="0"/>
    <n v="87205.116720000005"/>
    <n v="806.5"/>
    <n v="5027"/>
    <s v="Overstock"/>
    <n v="0.73155610663360193"/>
    <s v="Fast"/>
    <n v="17.364003118644067"/>
    <n v="0.16043365824547443"/>
    <s v="Under Utilized"/>
    <n v="0"/>
  </r>
  <r>
    <x v="377"/>
    <s v="South"/>
    <x v="3"/>
    <s v="Supplier B"/>
    <x v="0"/>
    <x v="1"/>
    <n v="103"/>
    <n v="754"/>
    <n v="4760.019824"/>
    <b v="1"/>
    <n v="21"/>
    <b v="0"/>
    <n v="9071.7294239999992"/>
    <n v="1873"/>
    <n v="5183"/>
    <s v="Understock"/>
    <n v="5.4991991457554727E-2"/>
    <s v="Slow"/>
    <n v="46.213784699029127"/>
    <n v="0.36137372178275129"/>
    <s v="Under Utilized"/>
    <n v="0"/>
  </r>
  <r>
    <x v="378"/>
    <s v="West"/>
    <x v="1"/>
    <s v="Supplier D"/>
    <x v="0"/>
    <x v="0"/>
    <n v="970"/>
    <n v="2992"/>
    <n v="10625.90058"/>
    <b v="1"/>
    <n v="12"/>
    <b v="0"/>
    <n v="32154.840230000002"/>
    <n v="3246.5"/>
    <n v="5628"/>
    <s v="Understock"/>
    <n v="0.2987833050977976"/>
    <s v="Medium"/>
    <n v="10.954536680412371"/>
    <n v="0.57684790334044067"/>
    <s v="Optimal"/>
    <n v="0"/>
  </r>
  <r>
    <x v="379"/>
    <s v="East"/>
    <x v="1"/>
    <s v="Supplier B"/>
    <x v="1"/>
    <x v="0"/>
    <n v="587"/>
    <n v="3501"/>
    <n v="14893.070449999999"/>
    <b v="1"/>
    <n v="24"/>
    <b v="0"/>
    <n v="80367.278739999994"/>
    <n v="2510.5"/>
    <n v="6107"/>
    <s v="Overstock"/>
    <n v="0.23381796454889464"/>
    <s v="Slow"/>
    <n v="25.371499914821122"/>
    <n v="0.41108563943016213"/>
    <s v="Optimal"/>
    <n v="0"/>
  </r>
  <r>
    <x v="380"/>
    <s v="North"/>
    <x v="0"/>
    <s v="Supplier D"/>
    <x v="1"/>
    <x v="2"/>
    <n v="362"/>
    <n v="1520"/>
    <n v="10909.12342"/>
    <b v="1"/>
    <n v="16"/>
    <b v="0"/>
    <n v="15534.381460000001"/>
    <n v="2332"/>
    <n v="6115"/>
    <s v="Understock"/>
    <n v="0.15523156089193826"/>
    <s v="Slow"/>
    <n v="30.13570005524862"/>
    <n v="0.38135731807031886"/>
    <s v="Under Utilized"/>
    <n v="0"/>
  </r>
  <r>
    <x v="381"/>
    <s v="West"/>
    <x v="2"/>
    <s v="Supplier A"/>
    <x v="2"/>
    <x v="0"/>
    <n v="416"/>
    <n v="3144"/>
    <n v="14484.266600000001"/>
    <b v="1"/>
    <n v="21"/>
    <b v="0"/>
    <n v="43362.744209999997"/>
    <n v="3037"/>
    <n v="7490"/>
    <s v="Overstock"/>
    <n v="0.13697728021073427"/>
    <s v="Slow"/>
    <n v="34.817948557692311"/>
    <n v="0.40547396528704938"/>
    <s v="Optimal"/>
    <n v="0"/>
  </r>
  <r>
    <x v="382"/>
    <s v="East"/>
    <x v="3"/>
    <s v="Supplier D"/>
    <x v="1"/>
    <x v="0"/>
    <n v="796"/>
    <n v="2930"/>
    <n v="11296.656150000001"/>
    <b v="1"/>
    <n v="19"/>
    <b v="0"/>
    <n v="93806.143800000005"/>
    <n v="2810.5"/>
    <n v="9987"/>
    <s v="Overstock"/>
    <n v="0.28322362568937909"/>
    <s v="Slow"/>
    <n v="14.191779082914573"/>
    <n v="0.28141584059277058"/>
    <s v="Under Utilized"/>
    <n v="0"/>
  </r>
  <r>
    <x v="383"/>
    <s v="North"/>
    <x v="2"/>
    <s v="Supplier C"/>
    <x v="0"/>
    <x v="0"/>
    <n v="589"/>
    <n v="2691"/>
    <n v="4892.7049340000003"/>
    <b v="0"/>
    <n v="21"/>
    <b v="0"/>
    <n v="52277.887459999998"/>
    <n v="1559.5"/>
    <n v="8072"/>
    <s v="Overstock"/>
    <n v="0.37768515549855725"/>
    <s v="Slow"/>
    <n v="8.3067995483870973"/>
    <n v="0.19319871159563926"/>
    <s v="Under Utilized"/>
    <n v="0"/>
  </r>
  <r>
    <x v="384"/>
    <s v="North"/>
    <x v="0"/>
    <s v="Supplier D"/>
    <x v="1"/>
    <x v="2"/>
    <n v="547"/>
    <n v="428"/>
    <n v="1734.5827300000001"/>
    <b v="1"/>
    <n v="5"/>
    <b v="0"/>
    <n v="31741.02708"/>
    <n v="390.5"/>
    <n v="6340"/>
    <s v="Overstock"/>
    <n v="1.4007682458386683"/>
    <s v="Fast"/>
    <n v="3.1710836014625232"/>
    <n v="6.1593059936908515E-2"/>
    <s v="Under Utilized"/>
    <n v="0"/>
  </r>
  <r>
    <x v="385"/>
    <s v="West"/>
    <x v="3"/>
    <s v="Supplier A"/>
    <x v="0"/>
    <x v="0"/>
    <n v="840"/>
    <n v="353"/>
    <n v="8264.2417700000005"/>
    <b v="0"/>
    <n v="14"/>
    <b v="0"/>
    <n v="91581.974440000005"/>
    <n v="1806"/>
    <n v="6047"/>
    <s v="Understock"/>
    <n v="0.46511627906976744"/>
    <s v="Medium"/>
    <n v="9.8383830595238102"/>
    <n v="0.29866049280635026"/>
    <s v="Under Utilized"/>
    <n v="0"/>
  </r>
  <r>
    <x v="386"/>
    <s v="West"/>
    <x v="0"/>
    <s v="Supplier D"/>
    <x v="2"/>
    <x v="2"/>
    <n v="478"/>
    <n v="3259"/>
    <n v="1986.1967729999999"/>
    <b v="1"/>
    <n v="9"/>
    <b v="0"/>
    <n v="63174.356500000002"/>
    <n v="3868"/>
    <n v="5925"/>
    <s v="Understock"/>
    <n v="0.12357807652533609"/>
    <s v="Medium"/>
    <n v="4.1552233744769875"/>
    <n v="0.65282700421940931"/>
    <s v="Optimal"/>
    <n v="0"/>
  </r>
  <r>
    <x v="387"/>
    <s v="North"/>
    <x v="3"/>
    <s v="Supplier B"/>
    <x v="1"/>
    <x v="0"/>
    <n v="264"/>
    <n v="4477"/>
    <n v="2553.4500520000001"/>
    <b v="1"/>
    <n v="8"/>
    <b v="0"/>
    <n v="36585.516309999999"/>
    <n v="3798"/>
    <n v="5978"/>
    <s v="Overstock"/>
    <n v="6.9510268562401265E-2"/>
    <s v="Medium"/>
    <n v="9.6721592878787881"/>
    <n v="0.6353295416527267"/>
    <s v="Optimal"/>
    <n v="0"/>
  </r>
  <r>
    <x v="388"/>
    <s v="East"/>
    <x v="2"/>
    <s v="Supplier D"/>
    <x v="2"/>
    <x v="2"/>
    <n v="487"/>
    <n v="3119"/>
    <n v="6944.3938859999998"/>
    <b v="1"/>
    <n v="24"/>
    <b v="0"/>
    <n v="37852.499329999999"/>
    <n v="3124"/>
    <n v="9972"/>
    <s v="Understock"/>
    <n v="0.15588988476312421"/>
    <s v="Slow"/>
    <n v="14.259535700205339"/>
    <n v="0.31327717609306055"/>
    <s v="Under Utilized"/>
    <n v="0"/>
  </r>
  <r>
    <x v="389"/>
    <s v="East"/>
    <x v="1"/>
    <s v="Supplier A"/>
    <x v="2"/>
    <x v="0"/>
    <n v="397"/>
    <n v="3129"/>
    <n v="6067.2316289999999"/>
    <b v="1"/>
    <n v="25"/>
    <b v="0"/>
    <n v="30172.683850000001"/>
    <n v="2932.5"/>
    <n v="5133"/>
    <s v="Overstock"/>
    <n v="0.13537936913895993"/>
    <s v="Slow"/>
    <n v="15.282699317380352"/>
    <n v="0.57130333138515488"/>
    <s v="Optimal"/>
    <n v="0"/>
  </r>
  <r>
    <x v="390"/>
    <s v="North"/>
    <x v="2"/>
    <s v="Supplier A"/>
    <x v="0"/>
    <x v="0"/>
    <n v="572"/>
    <n v="2736"/>
    <n v="1405.4419869999999"/>
    <b v="1"/>
    <n v="7"/>
    <b v="0"/>
    <n v="29031.76613"/>
    <n v="3799.5"/>
    <n v="9811"/>
    <s v="Understock"/>
    <n v="0.15054612449006449"/>
    <s v="Fast"/>
    <n v="2.4570664108391607"/>
    <n v="0.38726939149933748"/>
    <s v="Under Utilized"/>
    <n v="0"/>
  </r>
  <r>
    <x v="391"/>
    <s v="South"/>
    <x v="2"/>
    <s v="Supplier D"/>
    <x v="0"/>
    <x v="0"/>
    <n v="683"/>
    <n v="4863"/>
    <n v="7878.8361999999997"/>
    <b v="1"/>
    <n v="20"/>
    <b v="0"/>
    <n v="21824.497080000001"/>
    <n v="3047"/>
    <n v="6282"/>
    <s v="Overstock"/>
    <n v="0.22415490646537578"/>
    <s v="Slow"/>
    <n v="11.535631332357248"/>
    <n v="0.48503661254377589"/>
    <s v="Optimal"/>
    <n v="0"/>
  </r>
  <r>
    <x v="392"/>
    <s v="North"/>
    <x v="1"/>
    <s v="Supplier C"/>
    <x v="1"/>
    <x v="0"/>
    <n v="415"/>
    <n v="1231"/>
    <n v="12155.968349999999"/>
    <b v="1"/>
    <n v="27"/>
    <b v="0"/>
    <n v="69950.026710000006"/>
    <n v="2174.5"/>
    <n v="8083"/>
    <s v="Understock"/>
    <n v="0.19084847091285354"/>
    <s v="Slow"/>
    <n v="29.29149"/>
    <n v="0.26902140294445132"/>
    <s v="Under Utilized"/>
    <n v="0"/>
  </r>
  <r>
    <x v="393"/>
    <s v="West"/>
    <x v="0"/>
    <s v="Supplier A"/>
    <x v="2"/>
    <x v="0"/>
    <n v="56"/>
    <n v="3118"/>
    <n v="8347.4546040000005"/>
    <b v="1"/>
    <n v="12"/>
    <b v="0"/>
    <n v="9380.7406210000008"/>
    <n v="3081.5"/>
    <n v="5928"/>
    <s v="Overstock"/>
    <n v="1.8172967710530587E-2"/>
    <s v="Medium"/>
    <n v="149.06168935714285"/>
    <n v="0.51982118758434548"/>
    <s v="Optimal"/>
    <n v="0"/>
  </r>
  <r>
    <x v="394"/>
    <s v="West"/>
    <x v="1"/>
    <s v="Supplier B"/>
    <x v="1"/>
    <x v="2"/>
    <n v="354"/>
    <n v="3045"/>
    <n v="12817.31357"/>
    <b v="1"/>
    <n v="26"/>
    <b v="0"/>
    <n v="44810.092620000003"/>
    <n v="3402"/>
    <n v="5058"/>
    <s v="Understock"/>
    <n v="0.10405643738977072"/>
    <s v="Slow"/>
    <n v="36.207100480225989"/>
    <n v="0.67259786476868333"/>
    <s v="Optimal"/>
    <n v="0"/>
  </r>
  <r>
    <x v="395"/>
    <s v="South"/>
    <x v="0"/>
    <s v="Supplier C"/>
    <x v="1"/>
    <x v="0"/>
    <n v="529"/>
    <n v="3759"/>
    <n v="9298.4969889999993"/>
    <b v="1"/>
    <n v="27"/>
    <b v="0"/>
    <n v="101950.5018"/>
    <n v="3592.5"/>
    <n v="5157"/>
    <s v="Overstock"/>
    <n v="0.14725121781489214"/>
    <s v="Slow"/>
    <n v="17.577499034026463"/>
    <n v="0.6966259453170448"/>
    <s v="Optimal"/>
    <n v="0"/>
  </r>
  <r>
    <x v="396"/>
    <s v="North"/>
    <x v="0"/>
    <s v="Supplier A"/>
    <x v="1"/>
    <x v="0"/>
    <n v="124"/>
    <n v="3426"/>
    <n v="9518.0826390000002"/>
    <b v="1"/>
    <n v="25"/>
    <b v="0"/>
    <n v="2550.8503350000001"/>
    <n v="2399.5"/>
    <n v="9123"/>
    <s v="Overstock"/>
    <n v="5.1677432798499685E-2"/>
    <s v="Slow"/>
    <n v="76.758730959677422"/>
    <n v="0.26301655157294751"/>
    <s v="Under Utilized"/>
    <n v="0"/>
  </r>
  <r>
    <x v="397"/>
    <s v="North"/>
    <x v="3"/>
    <s v="Supplier D"/>
    <x v="0"/>
    <x v="0"/>
    <n v="309"/>
    <n v="1373"/>
    <n v="11738.686100000001"/>
    <b v="1"/>
    <n v="23"/>
    <b v="0"/>
    <n v="24856.449769999999"/>
    <n v="2205.5"/>
    <n v="8745"/>
    <s v="Understock"/>
    <n v="0.14010428474268874"/>
    <s v="Slow"/>
    <n v="37.989275404530744"/>
    <n v="0.25220125786163522"/>
    <s v="Under Utilized"/>
    <n v="0"/>
  </r>
  <r>
    <x v="398"/>
    <s v="South"/>
    <x v="0"/>
    <s v="Supplier A"/>
    <x v="2"/>
    <x v="0"/>
    <n v="679"/>
    <n v="3038"/>
    <n v="14443.385"/>
    <b v="1"/>
    <n v="3"/>
    <b v="0"/>
    <n v="110831.2711"/>
    <n v="2900.5"/>
    <n v="9421"/>
    <s v="Overstock"/>
    <n v="0.23409756938458887"/>
    <s v="Fast"/>
    <n v="21.271553755522827"/>
    <n v="0.30787602165375227"/>
    <s v="Under Utilized"/>
    <n v="0"/>
  </r>
  <r>
    <x v="399"/>
    <s v="North"/>
    <x v="1"/>
    <s v="Supplier C"/>
    <x v="2"/>
    <x v="0"/>
    <n v="165"/>
    <n v="2763"/>
    <n v="12615.333259999999"/>
    <b v="1"/>
    <n v="23"/>
    <b v="0"/>
    <n v="12280.793100000001"/>
    <n v="2341.5"/>
    <n v="5807"/>
    <s v="Overstock"/>
    <n v="7.0467648942985267E-2"/>
    <s v="Slow"/>
    <n v="76.456565212121205"/>
    <n v="0.40322025142069917"/>
    <s v="Optimal"/>
    <n v="0"/>
  </r>
  <r>
    <x v="400"/>
    <s v="East"/>
    <x v="2"/>
    <s v="Supplier D"/>
    <x v="1"/>
    <x v="0"/>
    <n v="615"/>
    <n v="1920"/>
    <n v="7064.9378969999998"/>
    <b v="1"/>
    <n v="28"/>
    <b v="0"/>
    <n v="56375.752370000002"/>
    <n v="1691"/>
    <n v="5162"/>
    <s v="Overstock"/>
    <n v="0.36369012418687169"/>
    <s v="Slow"/>
    <n v="11.487703897560975"/>
    <n v="0.32758620689655171"/>
    <s v="Under Utilized"/>
    <n v="0"/>
  </r>
  <r>
    <x v="401"/>
    <s v="North"/>
    <x v="1"/>
    <s v="Supplier A"/>
    <x v="1"/>
    <x v="1"/>
    <n v="167"/>
    <n v="1462"/>
    <n v="10134.144910000001"/>
    <b v="1"/>
    <n v="26"/>
    <b v="0"/>
    <n v="28995.628840000001"/>
    <n v="2407.5"/>
    <n v="7383"/>
    <s v="Understock"/>
    <n v="6.9366562824506747E-2"/>
    <s v="Slow"/>
    <n v="60.683502455089823"/>
    <n v="0.32608695652173914"/>
    <s v="Under Utilized"/>
    <n v="0"/>
  </r>
  <r>
    <x v="402"/>
    <s v="East"/>
    <x v="2"/>
    <s v="Supplier A"/>
    <x v="0"/>
    <x v="2"/>
    <n v="430"/>
    <n v="3353"/>
    <n v="10227.540859999999"/>
    <b v="1"/>
    <n v="3"/>
    <b v="0"/>
    <n v="53023.762739999998"/>
    <n v="3467"/>
    <n v="8230"/>
    <s v="Understock"/>
    <n v="0.12402653591000866"/>
    <s v="Fast"/>
    <n v="23.784978744186045"/>
    <n v="0.42126366950182259"/>
    <s v="Optimal"/>
    <n v="0"/>
  </r>
  <r>
    <x v="403"/>
    <s v="North"/>
    <x v="3"/>
    <s v="Supplier D"/>
    <x v="0"/>
    <x v="2"/>
    <n v="650"/>
    <n v="3581"/>
    <n v="14142.75864"/>
    <b v="1"/>
    <n v="18"/>
    <b v="0"/>
    <n v="18045.951219999999"/>
    <n v="1842.5"/>
    <n v="9341"/>
    <s v="Overstock"/>
    <n v="0.35278154681139756"/>
    <s v="Slow"/>
    <n v="21.758090215384616"/>
    <n v="0.19724868857724012"/>
    <s v="Under Utilized"/>
    <n v="0"/>
  </r>
  <r>
    <x v="404"/>
    <s v="East"/>
    <x v="2"/>
    <s v="Supplier D"/>
    <x v="2"/>
    <x v="2"/>
    <n v="318"/>
    <n v="104"/>
    <n v="13542.935090000001"/>
    <b v="1"/>
    <n v="26"/>
    <b v="0"/>
    <n v="56018.97913"/>
    <n v="2178"/>
    <n v="5169"/>
    <s v="Understock"/>
    <n v="0.14600550964187328"/>
    <s v="Slow"/>
    <n v="42.587846194968556"/>
    <n v="0.42135809634358679"/>
    <s v="Optimal"/>
    <n v="0"/>
  </r>
  <r>
    <x v="405"/>
    <s v="North"/>
    <x v="2"/>
    <s v="Supplier B"/>
    <x v="1"/>
    <x v="0"/>
    <n v="938"/>
    <n v="4252"/>
    <n v="5443.7431239999996"/>
    <b v="1"/>
    <n v="13"/>
    <b v="0"/>
    <n v="139323.77739999999"/>
    <n v="3139.5"/>
    <n v="7949"/>
    <s v="Overstock"/>
    <n v="0.29877369007803789"/>
    <s v="Medium"/>
    <n v="5.803564098081023"/>
    <n v="0.39495534029437668"/>
    <s v="Under Utilized"/>
    <n v="0"/>
  </r>
  <r>
    <x v="406"/>
    <s v="West"/>
    <x v="2"/>
    <s v="Supplier A"/>
    <x v="2"/>
    <x v="1"/>
    <n v="769"/>
    <n v="2027"/>
    <n v="13021.573640000001"/>
    <b v="1"/>
    <n v="26"/>
    <b v="0"/>
    <n v="77040.391640000002"/>
    <n v="1336"/>
    <n v="5429"/>
    <s v="Overstock"/>
    <n v="0.57559880239520955"/>
    <s v="Slow"/>
    <n v="16.93312566970091"/>
    <n v="0.24608583532878983"/>
    <s v="Under Utilized"/>
    <n v="0"/>
  </r>
  <r>
    <x v="407"/>
    <s v="North"/>
    <x v="1"/>
    <s v="Supplier C"/>
    <x v="0"/>
    <x v="0"/>
    <n v="649"/>
    <n v="645"/>
    <n v="1237.3746430000001"/>
    <b v="1"/>
    <n v="18"/>
    <b v="0"/>
    <n v="114000.7837"/>
    <n v="2816"/>
    <n v="7376"/>
    <s v="Understock"/>
    <n v="0.23046875"/>
    <s v="Slow"/>
    <n v="1.9065865069337444"/>
    <n v="0.38177874186550975"/>
    <s v="Under Utilized"/>
    <n v="0"/>
  </r>
  <r>
    <x v="408"/>
    <s v="West"/>
    <x v="1"/>
    <s v="Supplier D"/>
    <x v="2"/>
    <x v="0"/>
    <n v="870"/>
    <n v="4987"/>
    <n v="13593.90417"/>
    <b v="1"/>
    <n v="27"/>
    <b v="1"/>
    <n v="146852.10649999999"/>
    <n v="3637"/>
    <n v="9454"/>
    <s v="Overstock"/>
    <n v="0.23920813857574924"/>
    <s v="Slow"/>
    <n v="15.625177206896552"/>
    <n v="0.3847048868203935"/>
    <s v="Under Utilized"/>
    <n v="1"/>
  </r>
  <r>
    <x v="409"/>
    <s v="South"/>
    <x v="0"/>
    <s v="Supplier B"/>
    <x v="2"/>
    <x v="0"/>
    <n v="95"/>
    <n v="2287"/>
    <n v="7199.570471"/>
    <b v="0"/>
    <n v="10"/>
    <b v="0"/>
    <n v="4064.2125339999998"/>
    <n v="2633.5"/>
    <n v="7628"/>
    <s v="Understock"/>
    <n v="3.6073666223656729E-2"/>
    <s v="Medium"/>
    <n v="75.784952326315789"/>
    <n v="0.34524121657052964"/>
    <s v="Under Utilized"/>
    <n v="0"/>
  </r>
  <r>
    <x v="410"/>
    <s v="East"/>
    <x v="2"/>
    <s v="Supplier B"/>
    <x v="1"/>
    <x v="0"/>
    <n v="470"/>
    <n v="2980"/>
    <n v="3263.3526740000002"/>
    <b v="1"/>
    <n v="23"/>
    <b v="0"/>
    <n v="16981.321049999999"/>
    <n v="3230.5"/>
    <n v="7092"/>
    <s v="Understock"/>
    <n v="0.14548831450239902"/>
    <s v="Slow"/>
    <n v="6.9433035617021277"/>
    <n v="0.45551325437112239"/>
    <s v="Optimal"/>
    <n v="0"/>
  </r>
  <r>
    <x v="411"/>
    <s v="West"/>
    <x v="1"/>
    <s v="Supplier B"/>
    <x v="0"/>
    <x v="2"/>
    <n v="678"/>
    <n v="3481"/>
    <n v="8035.4329520000001"/>
    <b v="1"/>
    <n v="3"/>
    <b v="0"/>
    <n v="134639.1146"/>
    <n v="2441.5"/>
    <n v="8652"/>
    <s v="Overstock"/>
    <n v="0.27769813639156254"/>
    <s v="Fast"/>
    <n v="11.851671020648968"/>
    <n v="0.28218908922792418"/>
    <s v="Under Utilized"/>
    <n v="0"/>
  </r>
  <r>
    <x v="412"/>
    <s v="West"/>
    <x v="0"/>
    <s v="Supplier D"/>
    <x v="0"/>
    <x v="2"/>
    <n v="612"/>
    <n v="1402"/>
    <n v="7358.363609"/>
    <b v="1"/>
    <n v="19"/>
    <b v="0"/>
    <n v="78238.914319999996"/>
    <n v="1227.5"/>
    <n v="6676"/>
    <s v="Overstock"/>
    <n v="0.49857433808553969"/>
    <s v="Slow"/>
    <n v="12.023469949346405"/>
    <n v="0.18386758538046735"/>
    <s v="Under Utilized"/>
    <n v="0"/>
  </r>
  <r>
    <x v="413"/>
    <s v="East"/>
    <x v="3"/>
    <s v="Supplier C"/>
    <x v="2"/>
    <x v="1"/>
    <n v="988"/>
    <n v="1053"/>
    <n v="13300.93586"/>
    <b v="0"/>
    <n v="16"/>
    <b v="0"/>
    <n v="187153.35759999999"/>
    <n v="2994.5"/>
    <n v="5711"/>
    <s v="Understock"/>
    <n v="0.32993822007012857"/>
    <s v="Slow"/>
    <n v="13.462485688259109"/>
    <n v="0.52433899492208025"/>
    <s v="Optimal"/>
    <n v="0"/>
  </r>
  <r>
    <x v="414"/>
    <s v="North"/>
    <x v="3"/>
    <s v="Supplier B"/>
    <x v="2"/>
    <x v="1"/>
    <n v="701"/>
    <n v="4936"/>
    <n v="14865.857739999999"/>
    <b v="1"/>
    <n v="19"/>
    <b v="0"/>
    <n v="42272.484559999997"/>
    <n v="3999"/>
    <n v="8832"/>
    <s v="Overstock"/>
    <n v="0.17529382345586397"/>
    <s v="Slow"/>
    <n v="21.206644422253923"/>
    <n v="0.45278532608695654"/>
    <s v="Optimal"/>
    <n v="0"/>
  </r>
  <r>
    <x v="415"/>
    <s v="South"/>
    <x v="3"/>
    <s v="Supplier D"/>
    <x v="0"/>
    <x v="0"/>
    <n v="927"/>
    <n v="3062"/>
    <n v="10260.11455"/>
    <b v="0"/>
    <n v="19"/>
    <b v="0"/>
    <n v="162254.23749999999"/>
    <n v="3137.5"/>
    <n v="8141"/>
    <s v="Understock"/>
    <n v="0.29545816733067731"/>
    <s v="Slow"/>
    <n v="11.068084735706581"/>
    <n v="0.38539491462965236"/>
    <s v="Under Utilized"/>
    <n v="0"/>
  </r>
  <r>
    <x v="416"/>
    <s v="West"/>
    <x v="1"/>
    <s v="Supplier D"/>
    <x v="1"/>
    <x v="2"/>
    <n v="919"/>
    <n v="3213"/>
    <n v="13805.2101"/>
    <b v="0"/>
    <n v="6"/>
    <b v="0"/>
    <n v="110651.71950000001"/>
    <n v="3596"/>
    <n v="6345"/>
    <s v="Understock"/>
    <n v="0.25556173526140158"/>
    <s v="Fast"/>
    <n v="15.021991403699674"/>
    <n v="0.56674546887312849"/>
    <s v="Optimal"/>
    <n v="0"/>
  </r>
  <r>
    <x v="417"/>
    <s v="West"/>
    <x v="0"/>
    <s v="Supplier C"/>
    <x v="2"/>
    <x v="2"/>
    <n v="715"/>
    <n v="3979"/>
    <n v="1039.714716"/>
    <b v="1"/>
    <n v="22"/>
    <b v="0"/>
    <n v="55779.684829999998"/>
    <n v="4349.5"/>
    <n v="6555"/>
    <s v="Understock"/>
    <n v="0.16438671111622025"/>
    <s v="Slow"/>
    <n v="1.4541464559440558"/>
    <n v="0.66353928299008391"/>
    <s v="Optimal"/>
    <n v="0"/>
  </r>
  <r>
    <x v="418"/>
    <s v="East"/>
    <x v="0"/>
    <s v="Supplier C"/>
    <x v="0"/>
    <x v="0"/>
    <n v="957"/>
    <n v="4720"/>
    <n v="6135.1487109999998"/>
    <b v="1"/>
    <n v="12"/>
    <b v="0"/>
    <n v="76005.058300000004"/>
    <n v="2881"/>
    <n v="6400"/>
    <s v="Overstock"/>
    <n v="0.33217632766400557"/>
    <s v="Medium"/>
    <n v="6.4108137001044927"/>
    <n v="0.45015624999999998"/>
    <s v="Optimal"/>
    <n v="0"/>
  </r>
  <r>
    <x v="419"/>
    <s v="North"/>
    <x v="2"/>
    <s v="Supplier A"/>
    <x v="1"/>
    <x v="0"/>
    <n v="970"/>
    <n v="1042"/>
    <n v="2176.2813540000002"/>
    <b v="1"/>
    <n v="1"/>
    <b v="0"/>
    <n v="155633.27919999999"/>
    <n v="2188.5"/>
    <n v="8275"/>
    <s v="Understock"/>
    <n v="0.44322595384966873"/>
    <s v="Fast"/>
    <n v="2.2435890247422683"/>
    <n v="0.26447129909365558"/>
    <s v="Under Utilized"/>
    <n v="0"/>
  </r>
  <r>
    <x v="420"/>
    <s v="East"/>
    <x v="3"/>
    <s v="Supplier A"/>
    <x v="1"/>
    <x v="0"/>
    <n v="373"/>
    <n v="3335"/>
    <n v="5252.3347750000003"/>
    <b v="1"/>
    <n v="12"/>
    <b v="0"/>
    <n v="54355.978609999998"/>
    <n v="3346"/>
    <n v="7757"/>
    <s v="Understock"/>
    <n v="0.11147638971906754"/>
    <s v="Medium"/>
    <n v="14.081326474530831"/>
    <n v="0.4313523269305144"/>
    <s v="Optimal"/>
    <n v="0"/>
  </r>
  <r>
    <x v="421"/>
    <s v="West"/>
    <x v="1"/>
    <s v="Supplier C"/>
    <x v="1"/>
    <x v="0"/>
    <n v="366"/>
    <n v="3357"/>
    <n v="4663.8890940000001"/>
    <b v="1"/>
    <n v="5"/>
    <b v="0"/>
    <n v="18330.683649999999"/>
    <n v="1825"/>
    <n v="5965"/>
    <s v="Overstock"/>
    <n v="0.20054794520547944"/>
    <s v="Fast"/>
    <n v="12.742866377049181"/>
    <n v="0.30595138306789604"/>
    <s v="Under Utilized"/>
    <n v="0"/>
  </r>
  <r>
    <x v="422"/>
    <s v="West"/>
    <x v="1"/>
    <s v="Supplier A"/>
    <x v="1"/>
    <x v="0"/>
    <n v="408"/>
    <n v="293"/>
    <n v="13432.160389999999"/>
    <b v="1"/>
    <n v="15"/>
    <b v="0"/>
    <n v="67494.514660000001"/>
    <n v="265.5"/>
    <n v="9982"/>
    <s v="Overstock"/>
    <n v="1.536723163841808"/>
    <s v="Slow"/>
    <n v="32.921961740196075"/>
    <n v="2.6597876177118812E-2"/>
    <s v="Under Utilized"/>
    <n v="0"/>
  </r>
  <r>
    <x v="423"/>
    <s v="North"/>
    <x v="1"/>
    <s v="Supplier B"/>
    <x v="2"/>
    <x v="2"/>
    <n v="316"/>
    <n v="238"/>
    <n v="8574.1610729999993"/>
    <b v="1"/>
    <n v="22"/>
    <b v="0"/>
    <n v="20719.2929"/>
    <n v="257"/>
    <n v="7865"/>
    <s v="Understock"/>
    <n v="1.2295719844357977"/>
    <s v="Slow"/>
    <n v="27.133421117088606"/>
    <n v="3.2676414494596316E-2"/>
    <s v="Under Utilized"/>
    <n v="0"/>
  </r>
  <r>
    <x v="424"/>
    <s v="North"/>
    <x v="2"/>
    <s v="Supplier B"/>
    <x v="0"/>
    <x v="0"/>
    <n v="312"/>
    <n v="276"/>
    <n v="1825.6808980000001"/>
    <b v="1"/>
    <n v="9"/>
    <b v="0"/>
    <n v="10013.815570000001"/>
    <n v="405.5"/>
    <n v="8171"/>
    <s v="Understock"/>
    <n v="0.76942046855733659"/>
    <s v="Medium"/>
    <n v="5.8515413397435898"/>
    <n v="4.9626728674580838E-2"/>
    <s v="Under Utilized"/>
    <n v="0"/>
  </r>
  <r>
    <x v="425"/>
    <s v="South"/>
    <x v="3"/>
    <s v="Supplier C"/>
    <x v="2"/>
    <x v="0"/>
    <n v="425"/>
    <n v="535"/>
    <n v="652.99873379999997"/>
    <b v="1"/>
    <n v="10"/>
    <b v="0"/>
    <n v="57426.500500000002"/>
    <n v="488.5"/>
    <n v="9052"/>
    <s v="Overstock"/>
    <n v="0.87001023541453426"/>
    <s v="Medium"/>
    <n v="1.5364676089411764"/>
    <n v="5.3965974370304905E-2"/>
    <s v="Under Utilized"/>
    <n v="0"/>
  </r>
  <r>
    <x v="426"/>
    <s v="West"/>
    <x v="0"/>
    <s v="Supplier B"/>
    <x v="2"/>
    <x v="0"/>
    <n v="992"/>
    <n v="442"/>
    <n v="3219.1447320000002"/>
    <b v="1"/>
    <n v="7"/>
    <b v="0"/>
    <n v="177278.6146"/>
    <n v="425"/>
    <n v="6834"/>
    <s v="Overstock"/>
    <n v="2.3341176470588234"/>
    <s v="Fast"/>
    <n v="3.2451055766129033"/>
    <n v="6.2189054726368161E-2"/>
    <s v="Under Utilized"/>
    <n v="0"/>
  </r>
  <r>
    <x v="427"/>
    <s v="North"/>
    <x v="1"/>
    <s v="Supplier A"/>
    <x v="0"/>
    <x v="0"/>
    <n v="935"/>
    <n v="408"/>
    <n v="2953.4442490000001"/>
    <b v="1"/>
    <n v="13"/>
    <b v="0"/>
    <n v="139743.28659999999"/>
    <n v="1036.5"/>
    <n v="8596"/>
    <s v="Understock"/>
    <n v="0.90207428847081528"/>
    <s v="Medium"/>
    <n v="3.158763902673797"/>
    <n v="0.1205793392275477"/>
    <s v="Under Utilized"/>
    <n v="0"/>
  </r>
  <r>
    <x v="428"/>
    <s v="North"/>
    <x v="2"/>
    <s v="Supplier C"/>
    <x v="1"/>
    <x v="0"/>
    <n v="101"/>
    <n v="1665"/>
    <n v="6519.7573030000003"/>
    <b v="1"/>
    <n v="9"/>
    <b v="0"/>
    <n v="15956.01161"/>
    <n v="2864.5"/>
    <n v="8811"/>
    <s v="Understock"/>
    <n v="3.5259207540582996E-2"/>
    <s v="Medium"/>
    <n v="64.552052504950495"/>
    <n v="0.32510498240835317"/>
    <s v="Under Utilized"/>
    <n v="0"/>
  </r>
  <r>
    <x v="429"/>
    <s v="North"/>
    <x v="2"/>
    <s v="Supplier C"/>
    <x v="2"/>
    <x v="0"/>
    <n v="492"/>
    <n v="4064"/>
    <n v="7754.2125210000004"/>
    <b v="0"/>
    <n v="18"/>
    <b v="1"/>
    <n v="15341.858249999999"/>
    <n v="3149.5"/>
    <n v="8199"/>
    <s v="Overstock"/>
    <n v="0.15621527226543896"/>
    <s v="Slow"/>
    <n v="15.76059455487805"/>
    <n v="0.3841322112452738"/>
    <s v="Under Utilized"/>
    <n v="1"/>
  </r>
  <r>
    <x v="430"/>
    <s v="North"/>
    <x v="2"/>
    <s v="Supplier D"/>
    <x v="1"/>
    <x v="0"/>
    <n v="377"/>
    <n v="2235"/>
    <n v="11073.55875"/>
    <b v="1"/>
    <n v="2"/>
    <b v="0"/>
    <n v="43629.543440000001"/>
    <n v="2502"/>
    <n v="8163"/>
    <s v="Understock"/>
    <n v="0.15067945643485212"/>
    <s v="Fast"/>
    <n v="29.372834880636606"/>
    <n v="0.30650496141124589"/>
    <s v="Under Utilized"/>
    <n v="0"/>
  </r>
  <r>
    <x v="431"/>
    <s v="West"/>
    <x v="2"/>
    <s v="Supplier B"/>
    <x v="2"/>
    <x v="0"/>
    <n v="281"/>
    <n v="2769"/>
    <n v="3705.5375159999999"/>
    <b v="1"/>
    <n v="22"/>
    <b v="0"/>
    <n v="8954.6832240000003"/>
    <n v="3683"/>
    <n v="8209"/>
    <s v="Understock"/>
    <n v="7.6296497420581047E-2"/>
    <s v="Slow"/>
    <n v="13.18696624911032"/>
    <n v="0.44865391643318309"/>
    <s v="Optimal"/>
    <n v="0"/>
  </r>
  <r>
    <x v="432"/>
    <s v="West"/>
    <x v="0"/>
    <s v="Supplier A"/>
    <x v="0"/>
    <x v="2"/>
    <n v="916"/>
    <n v="4597"/>
    <n v="3624.9364340000002"/>
    <b v="1"/>
    <n v="8"/>
    <b v="0"/>
    <n v="53805.579989999998"/>
    <n v="4613.5"/>
    <n v="9104"/>
    <s v="Understock"/>
    <n v="0.19854774032730033"/>
    <s v="Medium"/>
    <n v="3.9573541855895198"/>
    <n v="0.50675527240773288"/>
    <s v="Optimal"/>
    <n v="0"/>
  </r>
  <r>
    <x v="433"/>
    <s v="North"/>
    <x v="2"/>
    <s v="Supplier B"/>
    <x v="0"/>
    <x v="2"/>
    <n v="626"/>
    <n v="4630"/>
    <n v="10154.547"/>
    <b v="0"/>
    <n v="29"/>
    <b v="1"/>
    <n v="101506.5805"/>
    <n v="4302"/>
    <n v="5216"/>
    <s v="Overstock"/>
    <n v="0.14551371455137146"/>
    <s v="Slow"/>
    <n v="16.22132108626198"/>
    <n v="0.82476993865030679"/>
    <s v="Optimal"/>
    <n v="1"/>
  </r>
  <r>
    <x v="434"/>
    <s v="East"/>
    <x v="2"/>
    <s v="Supplier A"/>
    <x v="1"/>
    <x v="2"/>
    <n v="269"/>
    <n v="3974"/>
    <n v="6165.0562879999998"/>
    <b v="1"/>
    <n v="3"/>
    <b v="1"/>
    <n v="34499.024069999999"/>
    <n v="2334.5"/>
    <n v="9584"/>
    <s v="Overstock"/>
    <n v="0.11522810023559649"/>
    <s v="Fast"/>
    <n v="22.918424862453531"/>
    <n v="0.24358305509181971"/>
    <s v="Under Utilized"/>
    <n v="1"/>
  </r>
  <r>
    <x v="435"/>
    <s v="North"/>
    <x v="2"/>
    <s v="Supplier A"/>
    <x v="2"/>
    <x v="0"/>
    <n v="987"/>
    <n v="695"/>
    <n v="6582.4815339999996"/>
    <b v="1"/>
    <n v="26"/>
    <b v="0"/>
    <n v="101918.99739999999"/>
    <n v="1535.5"/>
    <n v="7968"/>
    <s v="Understock"/>
    <n v="0.64278736567893191"/>
    <s v="Slow"/>
    <n v="6.6691808855116514"/>
    <n v="0.19270833333333334"/>
    <s v="Under Utilized"/>
    <n v="0"/>
  </r>
  <r>
    <x v="436"/>
    <s v="South"/>
    <x v="3"/>
    <s v="Supplier A"/>
    <x v="1"/>
    <x v="0"/>
    <n v="418"/>
    <n v="2376"/>
    <n v="5635.2358530000001"/>
    <b v="1"/>
    <n v="12"/>
    <b v="1"/>
    <n v="64577.384590000001"/>
    <n v="3550.5"/>
    <n v="6008"/>
    <s v="Understock"/>
    <n v="0.1177298971975778"/>
    <s v="Medium"/>
    <n v="13.481425485645934"/>
    <n v="0.59096205059920104"/>
    <s v="Optimal"/>
    <n v="1"/>
  </r>
  <r>
    <x v="437"/>
    <s v="North"/>
    <x v="3"/>
    <s v="Supplier B"/>
    <x v="0"/>
    <x v="0"/>
    <n v="791"/>
    <n v="4725"/>
    <n v="2807.8067179999998"/>
    <b v="1"/>
    <n v="28"/>
    <b v="0"/>
    <n v="88360.15221"/>
    <n v="4604.5"/>
    <n v="6210"/>
    <s v="Overstock"/>
    <n v="0.17178846780323598"/>
    <s v="Slow"/>
    <n v="3.5496924374209859"/>
    <n v="0.74146537842190019"/>
    <s v="Optimal"/>
    <n v="0"/>
  </r>
  <r>
    <x v="438"/>
    <s v="South"/>
    <x v="2"/>
    <s v="Supplier A"/>
    <x v="0"/>
    <x v="0"/>
    <n v="933"/>
    <n v="4484"/>
    <n v="14595.15036"/>
    <b v="1"/>
    <n v="29"/>
    <b v="0"/>
    <n v="69681.368700000006"/>
    <n v="2519"/>
    <n v="5852"/>
    <s v="Overstock"/>
    <n v="0.37038507344184202"/>
    <s v="Slow"/>
    <n v="15.643247974276527"/>
    <n v="0.43045112781954886"/>
    <s v="Optimal"/>
    <n v="0"/>
  </r>
  <r>
    <x v="439"/>
    <s v="West"/>
    <x v="3"/>
    <s v="Supplier B"/>
    <x v="0"/>
    <x v="0"/>
    <n v="991"/>
    <n v="554"/>
    <n v="6064.7006410000004"/>
    <b v="1"/>
    <n v="5"/>
    <b v="0"/>
    <n v="146635.6286"/>
    <n v="1638.5"/>
    <n v="8490"/>
    <s v="Understock"/>
    <n v="0.60482148306377781"/>
    <s v="Fast"/>
    <n v="6.1197786488395565"/>
    <n v="0.19299175500588928"/>
    <s v="Under Utilized"/>
    <n v="0"/>
  </r>
  <r>
    <x v="440"/>
    <s v="East"/>
    <x v="1"/>
    <s v="Supplier C"/>
    <x v="0"/>
    <x v="0"/>
    <n v="951"/>
    <n v="2723"/>
    <n v="7766.859606"/>
    <b v="1"/>
    <n v="5"/>
    <b v="0"/>
    <n v="121752.04790000001"/>
    <n v="3697.5"/>
    <n v="5743"/>
    <s v="Understock"/>
    <n v="0.25720081135902639"/>
    <s v="Fast"/>
    <n v="8.1670448012618291"/>
    <n v="0.6438272679784085"/>
    <s v="Optimal"/>
    <n v="0"/>
  </r>
  <r>
    <x v="441"/>
    <s v="North"/>
    <x v="2"/>
    <s v="Supplier D"/>
    <x v="0"/>
    <x v="0"/>
    <n v="497"/>
    <n v="4672"/>
    <n v="557.41917369999999"/>
    <b v="1"/>
    <n v="24"/>
    <b v="0"/>
    <n v="81213.557400000005"/>
    <n v="2557"/>
    <n v="9906"/>
    <s v="Overstock"/>
    <n v="0.19436840046929996"/>
    <s v="Slow"/>
    <n v="1.1215677539235411"/>
    <n v="0.25812638804764787"/>
    <s v="Under Utilized"/>
    <n v="0"/>
  </r>
  <r>
    <x v="442"/>
    <s v="East"/>
    <x v="1"/>
    <s v="Supplier C"/>
    <x v="0"/>
    <x v="0"/>
    <n v="324"/>
    <n v="442"/>
    <n v="7652.5719959999997"/>
    <b v="1"/>
    <n v="28"/>
    <b v="0"/>
    <n v="7971.7663000000002"/>
    <n v="1229.5"/>
    <n v="5713"/>
    <s v="Understock"/>
    <n v="0.26352175681171208"/>
    <s v="Slow"/>
    <n v="23.619049370370369"/>
    <n v="0.21521092245755294"/>
    <s v="Under Utilized"/>
    <n v="0"/>
  </r>
  <r>
    <x v="443"/>
    <s v="South"/>
    <x v="3"/>
    <s v="Supplier D"/>
    <x v="2"/>
    <x v="0"/>
    <n v="476"/>
    <n v="2017"/>
    <n v="7796.0979219999999"/>
    <b v="1"/>
    <n v="4"/>
    <b v="0"/>
    <n v="21615.10572"/>
    <n v="1174"/>
    <n v="6244"/>
    <s v="Overstock"/>
    <n v="0.40545144804088584"/>
    <s v="Fast"/>
    <n v="16.378356978991597"/>
    <n v="0.1880204996796925"/>
    <s v="Under Utilized"/>
    <n v="0"/>
  </r>
  <r>
    <x v="444"/>
    <s v="South"/>
    <x v="2"/>
    <s v="Supplier C"/>
    <x v="0"/>
    <x v="1"/>
    <n v="659"/>
    <n v="331"/>
    <n v="5646.5024139999996"/>
    <b v="1"/>
    <n v="18"/>
    <b v="0"/>
    <n v="76476.237099999998"/>
    <n v="305"/>
    <n v="8000"/>
    <s v="Overstock"/>
    <n v="2.1606557377049178"/>
    <s v="Slow"/>
    <n v="8.5682889438543235"/>
    <n v="3.8124999999999999E-2"/>
    <s v="Under Utilized"/>
    <n v="0"/>
  </r>
  <r>
    <x v="445"/>
    <s v="South"/>
    <x v="1"/>
    <s v="Supplier C"/>
    <x v="0"/>
    <x v="0"/>
    <n v="855"/>
    <n v="279"/>
    <n v="1520.877755"/>
    <b v="1"/>
    <n v="20"/>
    <b v="0"/>
    <n v="142459.8278"/>
    <n v="558"/>
    <n v="7646"/>
    <s v="Understock"/>
    <n v="1.532258064516129"/>
    <s v="Slow"/>
    <n v="1.7788043918128655"/>
    <n v="7.2979335600313888E-2"/>
    <s v="Under Utilized"/>
    <n v="0"/>
  </r>
  <r>
    <x v="446"/>
    <s v="South"/>
    <x v="0"/>
    <s v="Supplier A"/>
    <x v="1"/>
    <x v="0"/>
    <n v="572"/>
    <n v="837"/>
    <n v="14360.596"/>
    <b v="1"/>
    <n v="10"/>
    <b v="0"/>
    <n v="97505.250580000007"/>
    <n v="1887.5"/>
    <n v="7868"/>
    <s v="Understock"/>
    <n v="0.30304635761589405"/>
    <s v="Medium"/>
    <n v="25.105937062937063"/>
    <n v="0.23989578037620743"/>
    <s v="Under Utilized"/>
    <n v="0"/>
  </r>
  <r>
    <x v="447"/>
    <s v="South"/>
    <x v="1"/>
    <s v="Supplier D"/>
    <x v="2"/>
    <x v="0"/>
    <n v="460"/>
    <n v="2938"/>
    <n v="3058.3766719999999"/>
    <b v="1"/>
    <n v="21"/>
    <b v="0"/>
    <n v="17788.857619999999"/>
    <n v="1531"/>
    <n v="7302"/>
    <s v="Overstock"/>
    <n v="0.30045721750489873"/>
    <s v="Slow"/>
    <n v="6.6486449391304348"/>
    <n v="0.20966858394960286"/>
    <s v="Under Utilized"/>
    <n v="0"/>
  </r>
  <r>
    <x v="448"/>
    <s v="North"/>
    <x v="1"/>
    <s v="Supplier B"/>
    <x v="0"/>
    <x v="2"/>
    <n v="91"/>
    <n v="124"/>
    <n v="1184.7607089999999"/>
    <b v="1"/>
    <n v="12"/>
    <b v="0"/>
    <n v="11754.893700000001"/>
    <n v="2044.5"/>
    <n v="6734"/>
    <s v="Understock"/>
    <n v="4.4509660063585227E-2"/>
    <s v="Medium"/>
    <n v="13.019348450549449"/>
    <n v="0.3036085536085536"/>
    <s v="Under Utilized"/>
    <n v="0"/>
  </r>
  <r>
    <x v="449"/>
    <s v="West"/>
    <x v="0"/>
    <s v="Supplier A"/>
    <x v="2"/>
    <x v="0"/>
    <n v="715"/>
    <n v="3965"/>
    <n v="5999.6091800000004"/>
    <b v="1"/>
    <n v="13"/>
    <b v="0"/>
    <n v="24897.436389999999"/>
    <n v="2540.5"/>
    <n v="7209"/>
    <s v="Overstock"/>
    <n v="0.28144066128714817"/>
    <s v="Medium"/>
    <n v="8.3910617902097915"/>
    <n v="0.35240671382993483"/>
    <s v="Under Utilized"/>
    <n v="0"/>
  </r>
  <r>
    <x v="450"/>
    <s v="South"/>
    <x v="1"/>
    <s v="Supplier A"/>
    <x v="2"/>
    <x v="2"/>
    <n v="828"/>
    <n v="1116"/>
    <n v="12235.858389999999"/>
    <b v="1"/>
    <n v="10"/>
    <b v="0"/>
    <n v="78366.607550000001"/>
    <n v="662.5"/>
    <n v="5612"/>
    <s v="Overstock"/>
    <n v="1.249811320754717"/>
    <s v="Medium"/>
    <n v="14.777606751207729"/>
    <n v="0.11805060584461867"/>
    <s v="Under Utilized"/>
    <n v="0"/>
  </r>
  <r>
    <x v="451"/>
    <s v="North"/>
    <x v="0"/>
    <s v="Supplier C"/>
    <x v="1"/>
    <x v="0"/>
    <n v="488"/>
    <n v="209"/>
    <n v="6393.0688449999998"/>
    <b v="1"/>
    <n v="26"/>
    <b v="0"/>
    <n v="31925.018950000001"/>
    <n v="1319.5"/>
    <n v="5912"/>
    <s v="Understock"/>
    <n v="0.36983705949223189"/>
    <s v="Slow"/>
    <n v="13.100550911885245"/>
    <n v="0.22319012178619757"/>
    <s v="Under Utilized"/>
    <n v="0"/>
  </r>
  <r>
    <x v="452"/>
    <s v="East"/>
    <x v="3"/>
    <s v="Supplier A"/>
    <x v="2"/>
    <x v="0"/>
    <n v="256"/>
    <n v="2430"/>
    <n v="5743.3061170000001"/>
    <b v="1"/>
    <n v="29"/>
    <b v="0"/>
    <n v="39575.876969999998"/>
    <n v="1925.5"/>
    <n v="5002"/>
    <s v="Overstock"/>
    <n v="0.13295247987535705"/>
    <s v="Slow"/>
    <n v="22.43478951953125"/>
    <n v="0.38494602159136343"/>
    <s v="Under Utilized"/>
    <n v="0"/>
  </r>
  <r>
    <x v="453"/>
    <s v="East"/>
    <x v="2"/>
    <s v="Supplier B"/>
    <x v="0"/>
    <x v="0"/>
    <n v="829"/>
    <n v="1421"/>
    <n v="11818.30452"/>
    <b v="1"/>
    <n v="12"/>
    <b v="0"/>
    <n v="126213.1286"/>
    <n v="1758"/>
    <n v="6142"/>
    <s v="Understock"/>
    <n v="0.47155858930602956"/>
    <s v="Medium"/>
    <n v="14.25609712907117"/>
    <n v="0.28622598502116575"/>
    <s v="Under Utilized"/>
    <n v="0"/>
  </r>
  <r>
    <x v="454"/>
    <s v="South"/>
    <x v="0"/>
    <s v="Supplier D"/>
    <x v="2"/>
    <x v="0"/>
    <n v="484"/>
    <n v="2095"/>
    <n v="722.00350609999998"/>
    <b v="1"/>
    <n v="29"/>
    <b v="0"/>
    <n v="93190.211949999997"/>
    <n v="1475"/>
    <n v="8280"/>
    <s v="Overstock"/>
    <n v="0.32813559322033897"/>
    <s v="Slow"/>
    <n v="1.491742781198347"/>
    <n v="0.17814009661835747"/>
    <s v="Under Utilized"/>
    <n v="0"/>
  </r>
  <r>
    <x v="455"/>
    <s v="East"/>
    <x v="2"/>
    <s v="Supplier C"/>
    <x v="0"/>
    <x v="0"/>
    <n v="600"/>
    <n v="855"/>
    <n v="8703.2593780000007"/>
    <b v="1"/>
    <n v="11"/>
    <b v="0"/>
    <n v="65862.879430000001"/>
    <n v="1867"/>
    <n v="6723"/>
    <s v="Understock"/>
    <n v="0.32137118371719336"/>
    <s v="Medium"/>
    <n v="14.505432296666667"/>
    <n v="0.27770340621746242"/>
    <s v="Under Utilized"/>
    <n v="0"/>
  </r>
  <r>
    <x v="456"/>
    <s v="North"/>
    <x v="3"/>
    <s v="Supplier A"/>
    <x v="2"/>
    <x v="1"/>
    <n v="801"/>
    <n v="2879"/>
    <n v="8042.8218120000001"/>
    <b v="1"/>
    <n v="19"/>
    <b v="0"/>
    <n v="63129.526389999999"/>
    <n v="1889.5"/>
    <n v="6488"/>
    <s v="Overstock"/>
    <n v="0.42392167240010586"/>
    <s v="Slow"/>
    <n v="10.04097604494382"/>
    <n v="0.2912299630086313"/>
    <s v="Under Utilized"/>
    <n v="0"/>
  </r>
  <r>
    <x v="457"/>
    <s v="South"/>
    <x v="3"/>
    <s v="Supplier C"/>
    <x v="2"/>
    <x v="0"/>
    <n v="260"/>
    <n v="900"/>
    <n v="4385.1698770000003"/>
    <b v="1"/>
    <n v="18"/>
    <b v="0"/>
    <n v="47804.209009999999"/>
    <n v="1503.5"/>
    <n v="5453"/>
    <s v="Understock"/>
    <n v="0.17292983039574328"/>
    <s v="Slow"/>
    <n v="16.866037988461539"/>
    <n v="0.27571978727306068"/>
    <s v="Under Utilized"/>
    <n v="0"/>
  </r>
  <r>
    <x v="458"/>
    <s v="South"/>
    <x v="0"/>
    <s v="Supplier A"/>
    <x v="2"/>
    <x v="0"/>
    <n v="489"/>
    <n v="2107"/>
    <n v="2020.118334"/>
    <b v="1"/>
    <n v="6"/>
    <b v="0"/>
    <n v="50425.027650000004"/>
    <n v="2146.5"/>
    <n v="7233"/>
    <s v="Understock"/>
    <n v="0.22781271837875611"/>
    <s v="Fast"/>
    <n v="4.1311213374233127"/>
    <n v="0.29676482787225217"/>
    <s v="Under Utilized"/>
    <n v="0"/>
  </r>
  <r>
    <x v="459"/>
    <s v="East"/>
    <x v="1"/>
    <s v="Supplier B"/>
    <x v="2"/>
    <x v="0"/>
    <n v="69"/>
    <n v="2186"/>
    <n v="14009.05912"/>
    <b v="1"/>
    <n v="7"/>
    <b v="1"/>
    <n v="3967.8409999999999"/>
    <n v="3105"/>
    <n v="5711"/>
    <s v="Understock"/>
    <n v="2.2222222222222223E-2"/>
    <s v="Fast"/>
    <n v="203.02984231884056"/>
    <n v="0.54368762038171947"/>
    <s v="Optimal"/>
    <n v="1"/>
  </r>
  <r>
    <x v="460"/>
    <s v="West"/>
    <x v="1"/>
    <s v="Supplier C"/>
    <x v="0"/>
    <x v="0"/>
    <n v="186"/>
    <n v="4024"/>
    <n v="4031.160914"/>
    <b v="1"/>
    <n v="19"/>
    <b v="0"/>
    <n v="26574.950659999999"/>
    <n v="2096.5"/>
    <n v="5239"/>
    <s v="Overstock"/>
    <n v="8.8719294061531118E-2"/>
    <s v="Slow"/>
    <n v="21.672908139784948"/>
    <n v="0.4001717885092575"/>
    <s v="Optimal"/>
    <n v="0"/>
  </r>
  <r>
    <x v="461"/>
    <s v="North"/>
    <x v="3"/>
    <s v="Supplier A"/>
    <x v="0"/>
    <x v="0"/>
    <n v="973"/>
    <n v="169"/>
    <n v="10541.45319"/>
    <b v="1"/>
    <n v="16"/>
    <b v="0"/>
    <n v="166674.51490000001"/>
    <n v="594"/>
    <n v="8209"/>
    <s v="Understock"/>
    <n v="1.638047138047138"/>
    <s v="Slow"/>
    <n v="10.833970390544707"/>
    <n v="7.235960531124376E-2"/>
    <s v="Under Utilized"/>
    <n v="0"/>
  </r>
  <r>
    <x v="462"/>
    <s v="North"/>
    <x v="3"/>
    <s v="Supplier B"/>
    <x v="0"/>
    <x v="0"/>
    <n v="126"/>
    <n v="1019"/>
    <n v="13386.91101"/>
    <b v="1"/>
    <n v="7"/>
    <b v="0"/>
    <n v="16652.98229"/>
    <n v="680"/>
    <n v="5292"/>
    <s v="Overstock"/>
    <n v="0.18529411764705883"/>
    <s v="Fast"/>
    <n v="106.24532547619047"/>
    <n v="0.12849584278155707"/>
    <s v="Under Utilized"/>
    <n v="0"/>
  </r>
  <r>
    <x v="463"/>
    <s v="West"/>
    <x v="1"/>
    <s v="Supplier D"/>
    <x v="0"/>
    <x v="2"/>
    <n v="348"/>
    <n v="341"/>
    <n v="10385.889719999999"/>
    <b v="1"/>
    <n v="9"/>
    <b v="0"/>
    <n v="34273.644749999999"/>
    <n v="1060.5"/>
    <n v="8624"/>
    <s v="Understock"/>
    <n v="0.32814710042432815"/>
    <s v="Medium"/>
    <n v="29.84451068965517"/>
    <n v="0.12297077922077922"/>
    <s v="Under Utilized"/>
    <n v="0"/>
  </r>
  <r>
    <x v="464"/>
    <s v="East"/>
    <x v="0"/>
    <s v="Supplier C"/>
    <x v="0"/>
    <x v="0"/>
    <n v="968"/>
    <n v="1780"/>
    <n v="11939.704299999999"/>
    <b v="1"/>
    <n v="24"/>
    <b v="0"/>
    <n v="28435.796900000001"/>
    <n v="1128.5"/>
    <n v="5528"/>
    <s v="Overstock"/>
    <n v="0.85777580859548075"/>
    <s v="Slow"/>
    <n v="12.334405268595042"/>
    <n v="0.2041425470332851"/>
    <s v="Under Utilized"/>
    <n v="0"/>
  </r>
  <r>
    <x v="465"/>
    <s v="South"/>
    <x v="1"/>
    <s v="Supplier B"/>
    <x v="0"/>
    <x v="0"/>
    <n v="75"/>
    <n v="477"/>
    <n v="5075.5253789999997"/>
    <b v="1"/>
    <n v="13"/>
    <b v="0"/>
    <n v="2893.993927"/>
    <n v="1023"/>
    <n v="5806"/>
    <s v="Understock"/>
    <n v="7.331378299120235E-2"/>
    <s v="Medium"/>
    <n v="67.673671720000002"/>
    <n v="0.17619703754736479"/>
    <s v="Under Utilized"/>
    <n v="0"/>
  </r>
  <r>
    <x v="466"/>
    <s v="West"/>
    <x v="1"/>
    <s v="Supplier A"/>
    <x v="0"/>
    <x v="0"/>
    <n v="676"/>
    <n v="1569"/>
    <n v="7513.516936"/>
    <b v="1"/>
    <n v="2"/>
    <b v="0"/>
    <n v="35315.234499999999"/>
    <n v="2136"/>
    <n v="8702"/>
    <s v="Understock"/>
    <n v="0.31647940074906367"/>
    <s v="Fast"/>
    <n v="11.114670023668639"/>
    <n v="0.24546081360606756"/>
    <s v="Under Utilized"/>
    <n v="0"/>
  </r>
  <r>
    <x v="467"/>
    <s v="North"/>
    <x v="2"/>
    <s v="Supplier B"/>
    <x v="1"/>
    <x v="0"/>
    <n v="801"/>
    <n v="2703"/>
    <n v="13936.650530000001"/>
    <b v="1"/>
    <n v="1"/>
    <b v="0"/>
    <n v="151858.10310000001"/>
    <n v="3492"/>
    <n v="9424"/>
    <s v="Understock"/>
    <n v="0.22938144329896906"/>
    <s v="Fast"/>
    <n v="17.399064332084894"/>
    <n v="0.37054329371816641"/>
    <s v="Under Utilized"/>
    <n v="0"/>
  </r>
  <r>
    <x v="468"/>
    <s v="North"/>
    <x v="0"/>
    <s v="Supplier C"/>
    <x v="1"/>
    <x v="2"/>
    <n v="907"/>
    <n v="4281"/>
    <n v="11625.548070000001"/>
    <b v="1"/>
    <n v="13"/>
    <b v="0"/>
    <n v="131774.63039999999"/>
    <n v="2825"/>
    <n v="5594"/>
    <s v="Overstock"/>
    <n v="0.32106194690265488"/>
    <s v="Medium"/>
    <n v="12.817583318632856"/>
    <n v="0.50500536288880948"/>
    <s v="Optimal"/>
    <n v="0"/>
  </r>
  <r>
    <x v="469"/>
    <s v="East"/>
    <x v="0"/>
    <s v="Supplier D"/>
    <x v="2"/>
    <x v="0"/>
    <n v="859"/>
    <n v="1369"/>
    <n v="4308.7111619999996"/>
    <b v="1"/>
    <n v="9"/>
    <b v="0"/>
    <n v="97615.285940000002"/>
    <n v="2987"/>
    <n v="6561"/>
    <s v="Understock"/>
    <n v="0.28757951121526615"/>
    <s v="Medium"/>
    <n v="5.0159617718277065"/>
    <n v="0.45526596555403137"/>
    <s v="Optimal"/>
    <n v="0"/>
  </r>
  <r>
    <x v="470"/>
    <s v="West"/>
    <x v="1"/>
    <s v="Supplier D"/>
    <x v="1"/>
    <x v="0"/>
    <n v="249"/>
    <n v="4605"/>
    <n v="8064.8211199999996"/>
    <b v="1"/>
    <n v="17"/>
    <b v="0"/>
    <n v="5733.3022819999996"/>
    <n v="4467.5"/>
    <n v="6855"/>
    <s v="Overstock"/>
    <n v="5.5735870173475095E-2"/>
    <s v="Slow"/>
    <n v="32.388839839357431"/>
    <n v="0.65171407731582787"/>
    <s v="Optimal"/>
    <n v="0"/>
  </r>
  <r>
    <x v="471"/>
    <s v="North"/>
    <x v="0"/>
    <s v="Supplier C"/>
    <x v="1"/>
    <x v="2"/>
    <n v="260"/>
    <n v="4330"/>
    <n v="13463.104369999999"/>
    <b v="1"/>
    <n v="24"/>
    <b v="0"/>
    <n v="6159.0277939999996"/>
    <n v="3760.5"/>
    <n v="5447"/>
    <s v="Overstock"/>
    <n v="6.9139742055577713E-2"/>
    <s v="Slow"/>
    <n v="51.781170653846154"/>
    <n v="0.69038002570222146"/>
    <s v="Optimal"/>
    <n v="0"/>
  </r>
  <r>
    <x v="472"/>
    <s v="East"/>
    <x v="1"/>
    <s v="Supplier D"/>
    <x v="0"/>
    <x v="1"/>
    <n v="92"/>
    <n v="3191"/>
    <n v="518.3871153"/>
    <b v="1"/>
    <n v="19"/>
    <b v="0"/>
    <n v="9473.6971850000009"/>
    <n v="3008.5"/>
    <n v="5239"/>
    <s v="Overstock"/>
    <n v="3.0580023267409009E-2"/>
    <s v="Slow"/>
    <n v="5.6346425576086956"/>
    <n v="0.57425081122351596"/>
    <s v="Optimal"/>
    <n v="0"/>
  </r>
  <r>
    <x v="473"/>
    <s v="East"/>
    <x v="2"/>
    <s v="Supplier B"/>
    <x v="0"/>
    <x v="2"/>
    <n v="903"/>
    <n v="2826"/>
    <n v="9358.4326189999992"/>
    <b v="1"/>
    <n v="10"/>
    <b v="0"/>
    <n v="87079.548710000003"/>
    <n v="1701.5"/>
    <n v="8164"/>
    <s v="Overstock"/>
    <n v="0.53070819864825158"/>
    <s v="Medium"/>
    <n v="10.363712756367663"/>
    <n v="0.20841499265066143"/>
    <s v="Under Utilized"/>
    <n v="0"/>
  </r>
  <r>
    <x v="474"/>
    <s v="North"/>
    <x v="2"/>
    <s v="Supplier D"/>
    <x v="0"/>
    <x v="2"/>
    <n v="926"/>
    <n v="577"/>
    <n v="14348.416209999999"/>
    <b v="1"/>
    <n v="16"/>
    <b v="0"/>
    <n v="46557.843240000002"/>
    <n v="1003"/>
    <n v="7994"/>
    <s v="Understock"/>
    <n v="0.9232303090727817"/>
    <s v="Slow"/>
    <n v="15.495049902807775"/>
    <n v="0.12546910182636978"/>
    <s v="Under Utilized"/>
    <n v="0"/>
  </r>
  <r>
    <x v="475"/>
    <s v="North"/>
    <x v="3"/>
    <s v="Supplier A"/>
    <x v="2"/>
    <x v="0"/>
    <n v="998"/>
    <n v="1429"/>
    <n v="1857.6769529999999"/>
    <b v="1"/>
    <n v="4"/>
    <b v="0"/>
    <n v="124426.1344"/>
    <n v="1906"/>
    <n v="6427"/>
    <s v="Understock"/>
    <n v="0.52360965372507873"/>
    <s v="Fast"/>
    <n v="1.8613997525050099"/>
    <n v="0.29656138167107515"/>
    <s v="Under Utilized"/>
    <n v="0"/>
  </r>
  <r>
    <x v="476"/>
    <s v="North"/>
    <x v="1"/>
    <s v="Supplier C"/>
    <x v="1"/>
    <x v="0"/>
    <n v="160"/>
    <n v="2383"/>
    <n v="13849.107980000001"/>
    <b v="1"/>
    <n v="9"/>
    <b v="0"/>
    <n v="7371.7614249999997"/>
    <n v="3107.5"/>
    <n v="8832"/>
    <s v="Understock"/>
    <n v="5.1488334674175379E-2"/>
    <s v="Medium"/>
    <n v="86.556924875000007"/>
    <n v="0.35184556159420288"/>
    <s v="Under Utilized"/>
    <n v="0"/>
  </r>
  <r>
    <x v="477"/>
    <s v="West"/>
    <x v="0"/>
    <s v="Supplier B"/>
    <x v="0"/>
    <x v="2"/>
    <n v="101"/>
    <n v="3832"/>
    <n v="2548.033621"/>
    <b v="1"/>
    <n v="29"/>
    <b v="0"/>
    <n v="6919.7030940000004"/>
    <n v="2392.5"/>
    <n v="5459"/>
    <s v="Overstock"/>
    <n v="4.2215256008359459E-2"/>
    <s v="Slow"/>
    <n v="25.228055653465347"/>
    <n v="0.4382670818831288"/>
    <s v="Optimal"/>
    <n v="0"/>
  </r>
  <r>
    <x v="478"/>
    <s v="East"/>
    <x v="2"/>
    <s v="Supplier A"/>
    <x v="2"/>
    <x v="0"/>
    <n v="525"/>
    <n v="953"/>
    <n v="9760.753224"/>
    <b v="1"/>
    <n v="10"/>
    <b v="0"/>
    <n v="37880.203249999999"/>
    <n v="902"/>
    <n v="9639"/>
    <s v="Overstock"/>
    <n v="0.58203991130820398"/>
    <s v="Medium"/>
    <n v="18.591910902857144"/>
    <n v="9.3578172009544561E-2"/>
    <s v="Under Utilized"/>
    <n v="0"/>
  </r>
  <r>
    <x v="479"/>
    <s v="South"/>
    <x v="1"/>
    <s v="Supplier D"/>
    <x v="1"/>
    <x v="0"/>
    <n v="135"/>
    <n v="851"/>
    <n v="531.67007139999998"/>
    <b v="1"/>
    <n v="29"/>
    <b v="0"/>
    <n v="10652.182479999999"/>
    <n v="1625.5"/>
    <n v="9416"/>
    <s v="Understock"/>
    <n v="8.3051368809597043E-2"/>
    <s v="Slow"/>
    <n v="3.9382968251851849"/>
    <n v="0.17263169073916737"/>
    <s v="Under Utilized"/>
    <n v="0"/>
  </r>
  <r>
    <x v="480"/>
    <s v="West"/>
    <x v="2"/>
    <s v="Supplier D"/>
    <x v="0"/>
    <x v="0"/>
    <n v="490"/>
    <n v="2400"/>
    <n v="14997.814050000001"/>
    <b v="1"/>
    <n v="7"/>
    <b v="0"/>
    <n v="87464.363790000003"/>
    <n v="3527.5"/>
    <n v="5467"/>
    <s v="Understock"/>
    <n v="0.13890857547838412"/>
    <s v="Fast"/>
    <n v="30.607783775510207"/>
    <n v="0.6452350466434974"/>
    <s v="Optimal"/>
    <n v="0"/>
  </r>
  <r>
    <x v="481"/>
    <s v="West"/>
    <x v="1"/>
    <s v="Supplier D"/>
    <x v="1"/>
    <x v="0"/>
    <n v="237"/>
    <n v="4655"/>
    <n v="3385.6637689999998"/>
    <b v="1"/>
    <n v="11"/>
    <b v="0"/>
    <n v="16858.01931"/>
    <n v="2814"/>
    <n v="8897"/>
    <s v="Overstock"/>
    <n v="8.4221748400852878E-2"/>
    <s v="Medium"/>
    <n v="14.285501135021097"/>
    <n v="0.31628638867033831"/>
    <s v="Under Utilized"/>
    <n v="0"/>
  </r>
  <r>
    <x v="482"/>
    <s v="West"/>
    <x v="3"/>
    <s v="Supplier B"/>
    <x v="0"/>
    <x v="2"/>
    <n v="958"/>
    <n v="973"/>
    <n v="1963.6535710000001"/>
    <b v="1"/>
    <n v="14"/>
    <b v="0"/>
    <n v="122655.37450000001"/>
    <n v="1104"/>
    <n v="9718"/>
    <s v="Understock"/>
    <n v="0.86775362318840576"/>
    <s v="Medium"/>
    <n v="2.0497427672233819"/>
    <n v="0.11360362214447417"/>
    <s v="Under Utilized"/>
    <n v="0"/>
  </r>
  <r>
    <x v="483"/>
    <s v="East"/>
    <x v="0"/>
    <s v="Supplier A"/>
    <x v="1"/>
    <x v="2"/>
    <n v="702"/>
    <n v="1235"/>
    <n v="1841.4910070000001"/>
    <b v="1"/>
    <n v="26"/>
    <b v="0"/>
    <n v="14169.17778"/>
    <n v="1797"/>
    <n v="6579"/>
    <s v="Understock"/>
    <n v="0.39065108514190316"/>
    <s v="Slow"/>
    <n v="2.623206562678063"/>
    <n v="0.27314181486548106"/>
    <s v="Under Utilized"/>
    <n v="0"/>
  </r>
  <r>
    <x v="484"/>
    <s v="West"/>
    <x v="3"/>
    <s v="Supplier A"/>
    <x v="0"/>
    <x v="2"/>
    <n v="220"/>
    <n v="2359"/>
    <n v="4224.0355470000004"/>
    <b v="1"/>
    <n v="22"/>
    <b v="0"/>
    <n v="6311.5667240000002"/>
    <n v="3511.5"/>
    <n v="7019"/>
    <s v="Understock"/>
    <n v="6.2651288623095547E-2"/>
    <s v="Slow"/>
    <n v="19.200161577272731"/>
    <n v="0.50028494087476849"/>
    <s v="Optimal"/>
    <n v="0"/>
  </r>
  <r>
    <x v="485"/>
    <s v="West"/>
    <x v="0"/>
    <s v="Supplier B"/>
    <x v="0"/>
    <x v="0"/>
    <n v="734"/>
    <n v="4664"/>
    <n v="1802.420877"/>
    <b v="1"/>
    <n v="20"/>
    <b v="0"/>
    <n v="139538.3499"/>
    <n v="3154.5"/>
    <n v="6813"/>
    <s v="Overstock"/>
    <n v="0.23268346806149945"/>
    <s v="Slow"/>
    <n v="2.4556142738419617"/>
    <n v="0.46301188903566709"/>
    <s v="Optimal"/>
    <n v="0"/>
  </r>
  <r>
    <x v="486"/>
    <s v="West"/>
    <x v="3"/>
    <s v="Supplier D"/>
    <x v="0"/>
    <x v="2"/>
    <n v="151"/>
    <n v="1645"/>
    <n v="5721.4446459999999"/>
    <b v="1"/>
    <n v="7"/>
    <b v="0"/>
    <n v="19695.687890000001"/>
    <n v="1242"/>
    <n v="8245"/>
    <s v="Overstock"/>
    <n v="0.1215780998389694"/>
    <s v="Fast"/>
    <n v="37.890361894039735"/>
    <n v="0.15063674954517889"/>
    <s v="Under Utilized"/>
    <n v="0"/>
  </r>
  <r>
    <x v="487"/>
    <s v="North"/>
    <x v="3"/>
    <s v="Supplier B"/>
    <x v="0"/>
    <x v="0"/>
    <n v="836"/>
    <n v="839"/>
    <n v="727.5906311"/>
    <b v="1"/>
    <n v="9"/>
    <b v="0"/>
    <n v="55154.160129999997"/>
    <n v="2159.5"/>
    <n v="8169"/>
    <s v="Understock"/>
    <n v="0.38712664968742766"/>
    <s v="Medium"/>
    <n v="0.87032372141148329"/>
    <n v="0.26435304198800341"/>
    <s v="Under Utilized"/>
    <n v="0"/>
  </r>
  <r>
    <x v="488"/>
    <s v="South"/>
    <x v="3"/>
    <s v="Supplier C"/>
    <x v="2"/>
    <x v="0"/>
    <n v="292"/>
    <n v="3480"/>
    <n v="3995.4330150000001"/>
    <b v="1"/>
    <n v="16"/>
    <b v="0"/>
    <n v="19776.611430000001"/>
    <n v="3131.5"/>
    <n v="5813"/>
    <s v="Overstock"/>
    <n v="9.3246048219703018E-2"/>
    <s v="Slow"/>
    <n v="13.68298977739726"/>
    <n v="0.53870634784104598"/>
    <s v="Optimal"/>
    <n v="0"/>
  </r>
  <r>
    <x v="489"/>
    <s v="East"/>
    <x v="0"/>
    <s v="Supplier A"/>
    <x v="1"/>
    <x v="2"/>
    <n v="821"/>
    <n v="2783"/>
    <n v="6147.9823759999999"/>
    <b v="1"/>
    <n v="5"/>
    <b v="0"/>
    <n v="39180.53256"/>
    <n v="2278.5"/>
    <n v="7301"/>
    <s v="Overstock"/>
    <n v="0.36032477507131883"/>
    <s v="Fast"/>
    <n v="7.4884072789281362"/>
    <n v="0.31208053691275167"/>
    <s v="Under Utilized"/>
    <n v="0"/>
  </r>
  <r>
    <x v="490"/>
    <s v="West"/>
    <x v="2"/>
    <s v="Supplier B"/>
    <x v="2"/>
    <x v="2"/>
    <n v="728"/>
    <n v="1774"/>
    <n v="2097.0631020000001"/>
    <b v="1"/>
    <n v="20"/>
    <b v="0"/>
    <n v="59591.543299999998"/>
    <n v="2220.5"/>
    <n v="9058"/>
    <s v="Understock"/>
    <n v="0.32785408691736095"/>
    <s v="Slow"/>
    <n v="2.8805811840659343"/>
    <n v="0.24514241554427027"/>
    <s v="Under Utilized"/>
    <n v="0"/>
  </r>
  <r>
    <x v="491"/>
    <s v="West"/>
    <x v="3"/>
    <s v="Supplier A"/>
    <x v="0"/>
    <x v="0"/>
    <n v="122"/>
    <n v="2667"/>
    <n v="7737.0755429999999"/>
    <b v="1"/>
    <n v="12"/>
    <b v="0"/>
    <n v="16130.701419999999"/>
    <n v="2854.5"/>
    <n v="9097"/>
    <s v="Understock"/>
    <n v="4.2739534069013839E-2"/>
    <s v="Medium"/>
    <n v="63.41865199180328"/>
    <n v="0.31378476420798063"/>
    <s v="Under Utilized"/>
    <n v="0"/>
  </r>
  <r>
    <x v="492"/>
    <s v="West"/>
    <x v="2"/>
    <s v="Supplier D"/>
    <x v="0"/>
    <x v="0"/>
    <n v="325"/>
    <n v="3042"/>
    <n v="7862.4062020000001"/>
    <b v="1"/>
    <n v="7"/>
    <b v="1"/>
    <n v="60966.953309999997"/>
    <n v="3330"/>
    <n v="6478"/>
    <s v="Understock"/>
    <n v="9.7597597597597591E-2"/>
    <s v="Fast"/>
    <n v="24.192019083076925"/>
    <n v="0.51404754553874654"/>
    <s v="Optimal"/>
    <n v="1"/>
  </r>
  <r>
    <x v="493"/>
    <s v="West"/>
    <x v="2"/>
    <s v="Supplier B"/>
    <x v="0"/>
    <x v="0"/>
    <n v="670"/>
    <n v="3618"/>
    <n v="10984.328320000001"/>
    <b v="1"/>
    <n v="10"/>
    <b v="0"/>
    <n v="112623.65180000001"/>
    <n v="3528"/>
    <n v="8464"/>
    <s v="Overstock"/>
    <n v="0.1899092970521542"/>
    <s v="Medium"/>
    <n v="16.394519880597016"/>
    <n v="0.41682419659735348"/>
    <s v="Optimal"/>
    <n v="0"/>
  </r>
  <r>
    <x v="494"/>
    <s v="North"/>
    <x v="3"/>
    <s v="Supplier A"/>
    <x v="0"/>
    <x v="0"/>
    <n v="261"/>
    <n v="3438"/>
    <n v="5309.0387410000003"/>
    <b v="1"/>
    <n v="19"/>
    <b v="0"/>
    <n v="11991.493490000001"/>
    <n v="2946"/>
    <n v="5037"/>
    <s v="Overstock"/>
    <n v="8.8594704684317724E-2"/>
    <s v="Slow"/>
    <n v="20.341144601532569"/>
    <n v="0.58487194758784988"/>
    <s v="Optimal"/>
    <n v="0"/>
  </r>
  <r>
    <x v="495"/>
    <s v="North"/>
    <x v="1"/>
    <s v="Supplier B"/>
    <x v="0"/>
    <x v="0"/>
    <n v="253"/>
    <n v="2454"/>
    <n v="8789.3437360000007"/>
    <b v="1"/>
    <n v="12"/>
    <b v="0"/>
    <n v="24777.342089999998"/>
    <n v="3643"/>
    <n v="6024"/>
    <s v="Understock"/>
    <n v="6.9448256931100738E-2"/>
    <s v="Medium"/>
    <n v="34.740489075098814"/>
    <n v="0.60474767596281542"/>
    <s v="Optimal"/>
    <n v="0"/>
  </r>
  <r>
    <x v="496"/>
    <s v="West"/>
    <x v="2"/>
    <s v="Supplier B"/>
    <x v="1"/>
    <x v="2"/>
    <n v="413"/>
    <n v="4832"/>
    <n v="13294.933199999999"/>
    <b v="1"/>
    <n v="16"/>
    <b v="0"/>
    <n v="37152.687149999998"/>
    <n v="4709.5"/>
    <n v="6084"/>
    <s v="Overstock"/>
    <n v="8.7695084403864532E-2"/>
    <s v="Slow"/>
    <n v="32.191121549636804"/>
    <n v="0.77407955292570674"/>
    <s v="Optimal"/>
    <n v="0"/>
  </r>
  <r>
    <x v="497"/>
    <s v="North"/>
    <x v="2"/>
    <s v="Supplier C"/>
    <x v="2"/>
    <x v="0"/>
    <n v="524"/>
    <n v="4587"/>
    <n v="645.15095310000004"/>
    <b v="1"/>
    <n v="12"/>
    <b v="0"/>
    <n v="79659.972859999994"/>
    <n v="2730"/>
    <n v="6338"/>
    <s v="Overstock"/>
    <n v="0.19194139194139195"/>
    <s v="Medium"/>
    <n v="1.2312041089694656"/>
    <n v="0.43073524771221205"/>
    <s v="Optimal"/>
    <n v="0"/>
  </r>
  <r>
    <x v="498"/>
    <s v="West"/>
    <x v="2"/>
    <s v="Supplier A"/>
    <x v="2"/>
    <x v="2"/>
    <n v="758"/>
    <n v="873"/>
    <n v="13340.611929999999"/>
    <b v="1"/>
    <n v="26"/>
    <b v="0"/>
    <n v="105205.79889999999"/>
    <n v="919"/>
    <n v="9036"/>
    <s v="Understock"/>
    <n v="0.82480957562568014"/>
    <s v="Slow"/>
    <n v="17.599751886543533"/>
    <n v="0.10170429393536963"/>
    <s v="Under Utilized"/>
    <n v="0"/>
  </r>
  <r>
    <x v="499"/>
    <s v="South"/>
    <x v="0"/>
    <s v="Supplier C"/>
    <x v="1"/>
    <x v="0"/>
    <n v="724"/>
    <n v="965"/>
    <n v="2813.3293720000001"/>
    <b v="1"/>
    <n v="27"/>
    <b v="1"/>
    <n v="143494.27369999999"/>
    <n v="697"/>
    <n v="9561"/>
    <s v="Overstock"/>
    <n v="1.0387374461979915"/>
    <s v="Slow"/>
    <n v="3.885814049723757"/>
    <n v="7.2900324233866748E-2"/>
    <s v="Under Utilized"/>
    <n v="1"/>
  </r>
  <r>
    <x v="500"/>
    <s v="East"/>
    <x v="3"/>
    <s v="Supplier C"/>
    <x v="1"/>
    <x v="0"/>
    <n v="237"/>
    <n v="429"/>
    <n v="5856.1718849999997"/>
    <b v="1"/>
    <n v="24"/>
    <b v="0"/>
    <n v="33337.286269999997"/>
    <n v="1806"/>
    <n v="8752"/>
    <s v="Understock"/>
    <n v="0.13122923588039867"/>
    <s v="Slow"/>
    <n v="24.709586012658228"/>
    <n v="0.20635283363802559"/>
    <s v="Under Utilized"/>
    <n v="0"/>
  </r>
  <r>
    <x v="501"/>
    <s v="South"/>
    <x v="0"/>
    <s v="Supplier B"/>
    <x v="0"/>
    <x v="0"/>
    <n v="180"/>
    <n v="3183"/>
    <n v="4550.4225370000004"/>
    <b v="1"/>
    <n v="21"/>
    <b v="0"/>
    <n v="35979.423799999997"/>
    <n v="1962"/>
    <n v="9741"/>
    <s v="Overstock"/>
    <n v="9.1743119266055051E-2"/>
    <s v="Slow"/>
    <n v="25.280125205555557"/>
    <n v="0.20141669233138282"/>
    <s v="Under Utilized"/>
    <n v="0"/>
  </r>
  <r>
    <x v="502"/>
    <s v="South"/>
    <x v="1"/>
    <s v="Supplier A"/>
    <x v="0"/>
    <x v="0"/>
    <n v="722"/>
    <n v="741"/>
    <n v="7169.7342099999996"/>
    <b v="1"/>
    <n v="8"/>
    <b v="1"/>
    <n v="130032.5007"/>
    <n v="429.5"/>
    <n v="6804"/>
    <s v="Overstock"/>
    <n v="1.6810244470314319"/>
    <s v="Medium"/>
    <n v="9.930379792243766"/>
    <n v="6.3124632569077008E-2"/>
    <s v="Under Utilized"/>
    <n v="1"/>
  </r>
  <r>
    <x v="503"/>
    <s v="East"/>
    <x v="3"/>
    <s v="Supplier D"/>
    <x v="1"/>
    <x v="0"/>
    <n v="996"/>
    <n v="118"/>
    <n v="4888.0361519999997"/>
    <b v="1"/>
    <n v="25"/>
    <b v="0"/>
    <n v="73098.188110000003"/>
    <n v="1231"/>
    <n v="8183"/>
    <s v="Understock"/>
    <n v="0.80909829406986189"/>
    <s v="Slow"/>
    <n v="4.9076668192771082"/>
    <n v="0.15043382622510082"/>
    <s v="Under Utilized"/>
    <n v="0"/>
  </r>
  <r>
    <x v="504"/>
    <s v="West"/>
    <x v="1"/>
    <s v="Supplier D"/>
    <x v="0"/>
    <x v="0"/>
    <n v="161"/>
    <n v="2344"/>
    <n v="9918.3729000000003"/>
    <b v="1"/>
    <n v="7"/>
    <b v="0"/>
    <n v="14127.73863"/>
    <n v="2670.5"/>
    <n v="6468"/>
    <s v="Understock"/>
    <n v="6.0288335517693317E-2"/>
    <s v="Fast"/>
    <n v="61.604800621118017"/>
    <n v="0.4128787878787879"/>
    <s v="Optimal"/>
    <n v="0"/>
  </r>
  <r>
    <x v="505"/>
    <s v="South"/>
    <x v="2"/>
    <s v="Supplier A"/>
    <x v="1"/>
    <x v="0"/>
    <n v="78"/>
    <n v="2997"/>
    <n v="8714.5134010000002"/>
    <b v="1"/>
    <n v="8"/>
    <b v="0"/>
    <n v="13450.793299999999"/>
    <n v="3150"/>
    <n v="5628"/>
    <s v="Understock"/>
    <n v="2.4761904761904763E-2"/>
    <s v="Medium"/>
    <n v="111.72453078205129"/>
    <n v="0.55970149253731338"/>
    <s v="Optimal"/>
    <n v="0"/>
  </r>
  <r>
    <x v="506"/>
    <s v="West"/>
    <x v="1"/>
    <s v="Supplier B"/>
    <x v="1"/>
    <x v="0"/>
    <n v="57"/>
    <n v="3303"/>
    <n v="3468.4320819999998"/>
    <b v="1"/>
    <n v="17"/>
    <b v="0"/>
    <n v="8801.4132460000001"/>
    <n v="3856"/>
    <n v="6060"/>
    <s v="Understock"/>
    <n v="1.4782157676348547E-2"/>
    <s v="Slow"/>
    <n v="60.849685649122804"/>
    <n v="0.63630363036303628"/>
    <s v="Optimal"/>
    <n v="0"/>
  </r>
  <r>
    <x v="507"/>
    <s v="North"/>
    <x v="2"/>
    <s v="Supplier C"/>
    <x v="1"/>
    <x v="1"/>
    <n v="375"/>
    <n v="4409"/>
    <n v="7025.9304709999997"/>
    <b v="1"/>
    <n v="8"/>
    <b v="0"/>
    <n v="30862.49163"/>
    <n v="2687"/>
    <n v="5787"/>
    <s v="Overstock"/>
    <n v="0.13956084852995906"/>
    <s v="Medium"/>
    <n v="18.735814589333334"/>
    <n v="0.46431657162605838"/>
    <s v="Optimal"/>
    <n v="0"/>
  </r>
  <r>
    <x v="508"/>
    <s v="South"/>
    <x v="3"/>
    <s v="Supplier B"/>
    <x v="2"/>
    <x v="0"/>
    <n v="901"/>
    <n v="965"/>
    <n v="1394.281463"/>
    <b v="1"/>
    <n v="16"/>
    <b v="0"/>
    <n v="65523.453999999998"/>
    <n v="2025"/>
    <n v="8281"/>
    <s v="Understock"/>
    <n v="0.44493827160493826"/>
    <s v="Slow"/>
    <n v="1.5474822008879023"/>
    <n v="0.24453568409612367"/>
    <s v="Under Utilized"/>
    <n v="0"/>
  </r>
  <r>
    <x v="509"/>
    <s v="South"/>
    <x v="3"/>
    <s v="Supplier D"/>
    <x v="0"/>
    <x v="2"/>
    <n v="974"/>
    <n v="3085"/>
    <n v="13386.824490000001"/>
    <b v="1"/>
    <n v="26"/>
    <b v="0"/>
    <n v="55468.229979999996"/>
    <n v="3898"/>
    <n v="5544"/>
    <s v="Understock"/>
    <n v="0.24987172909184197"/>
    <s v="Slow"/>
    <n v="13.744172987679672"/>
    <n v="0.70310245310245312"/>
    <s v="Optimal"/>
    <n v="0"/>
  </r>
  <r>
    <x v="510"/>
    <s v="South"/>
    <x v="2"/>
    <s v="Supplier D"/>
    <x v="0"/>
    <x v="0"/>
    <n v="755"/>
    <n v="4711"/>
    <n v="11083.891030000001"/>
    <b v="1"/>
    <n v="1"/>
    <b v="0"/>
    <n v="116445.837"/>
    <n v="2840.5"/>
    <n v="8768"/>
    <s v="Overstock"/>
    <n v="0.26579827495159303"/>
    <s v="Fast"/>
    <n v="14.680650370860928"/>
    <n v="0.32396213503649635"/>
    <s v="Under Utilized"/>
    <n v="0"/>
  </r>
  <r>
    <x v="511"/>
    <s v="East"/>
    <x v="1"/>
    <s v="Supplier D"/>
    <x v="2"/>
    <x v="0"/>
    <n v="898"/>
    <n v="970"/>
    <n v="729.8517124"/>
    <b v="1"/>
    <n v="4"/>
    <b v="0"/>
    <n v="95510.242270000002"/>
    <n v="2455"/>
    <n v="6829"/>
    <s v="Understock"/>
    <n v="0.36578411405295314"/>
    <s v="Fast"/>
    <n v="0.81275246369710463"/>
    <n v="0.35949626592473277"/>
    <s v="Under Utilized"/>
    <n v="0"/>
  </r>
  <r>
    <x v="512"/>
    <s v="North"/>
    <x v="0"/>
    <s v="Supplier D"/>
    <x v="2"/>
    <x v="0"/>
    <n v="178"/>
    <n v="3940"/>
    <n v="13886.02283"/>
    <b v="1"/>
    <n v="20"/>
    <b v="0"/>
    <n v="12362.549489999999"/>
    <n v="2461"/>
    <n v="5080"/>
    <s v="Overstock"/>
    <n v="7.2328321820398209E-2"/>
    <s v="Slow"/>
    <n v="78.011364213483148"/>
    <n v="0.4844488188976378"/>
    <s v="Optimal"/>
    <n v="0"/>
  </r>
  <r>
    <x v="513"/>
    <s v="South"/>
    <x v="3"/>
    <s v="Supplier B"/>
    <x v="1"/>
    <x v="0"/>
    <n v="160"/>
    <n v="982"/>
    <n v="7655.4599719999997"/>
    <b v="1"/>
    <n v="26"/>
    <b v="0"/>
    <n v="18645.392930000002"/>
    <n v="2444"/>
    <n v="9425"/>
    <s v="Understock"/>
    <n v="6.5466448445171854E-2"/>
    <s v="Slow"/>
    <n v="47.846624824999999"/>
    <n v="0.25931034482758619"/>
    <s v="Under Utilized"/>
    <n v="0"/>
  </r>
  <r>
    <x v="514"/>
    <s v="South"/>
    <x v="3"/>
    <s v="Supplier A"/>
    <x v="1"/>
    <x v="1"/>
    <n v="486"/>
    <n v="3906"/>
    <n v="10151.93226"/>
    <b v="1"/>
    <n v="18"/>
    <b v="0"/>
    <n v="65947.937430000005"/>
    <n v="3505.5"/>
    <n v="9985"/>
    <s v="Overstock"/>
    <n v="0.1386392811296534"/>
    <s v="Slow"/>
    <n v="20.888749506172839"/>
    <n v="0.35107661492238357"/>
    <s v="Under Utilized"/>
    <n v="0"/>
  </r>
  <r>
    <x v="515"/>
    <s v="North"/>
    <x v="2"/>
    <s v="Supplier B"/>
    <x v="1"/>
    <x v="0"/>
    <n v="107"/>
    <n v="3105"/>
    <n v="14936.476360000001"/>
    <b v="1"/>
    <n v="28"/>
    <b v="0"/>
    <n v="5169.0882659999997"/>
    <n v="2083.5"/>
    <n v="7563"/>
    <s v="Overstock"/>
    <n v="5.1355891528677707E-2"/>
    <s v="Slow"/>
    <n v="139.59323700934581"/>
    <n v="0.27548591828639429"/>
    <s v="Under Utilized"/>
    <n v="0"/>
  </r>
  <r>
    <x v="516"/>
    <s v="West"/>
    <x v="2"/>
    <s v="Supplier A"/>
    <x v="2"/>
    <x v="0"/>
    <n v="944"/>
    <n v="1062"/>
    <n v="11311.61082"/>
    <b v="1"/>
    <n v="28"/>
    <b v="0"/>
    <n v="83924.157860000007"/>
    <n v="1549"/>
    <n v="5171"/>
    <s v="Understock"/>
    <n v="0.60942543576500974"/>
    <s v="Slow"/>
    <n v="11.982638580508475"/>
    <n v="0.29955521175788047"/>
    <s v="Under Utilized"/>
    <n v="0"/>
  </r>
  <r>
    <x v="517"/>
    <s v="East"/>
    <x v="2"/>
    <s v="Supplier D"/>
    <x v="0"/>
    <x v="2"/>
    <n v="242"/>
    <n v="2036"/>
    <n v="3441.661051"/>
    <b v="1"/>
    <n v="28"/>
    <b v="0"/>
    <n v="28965.28313"/>
    <n v="3432.5"/>
    <n v="5366"/>
    <s v="Understock"/>
    <n v="7.0502549162418063E-2"/>
    <s v="Slow"/>
    <n v="14.221739880165289"/>
    <n v="0.6396757361162877"/>
    <s v="Optimal"/>
    <n v="0"/>
  </r>
  <r>
    <x v="518"/>
    <s v="North"/>
    <x v="3"/>
    <s v="Supplier C"/>
    <x v="1"/>
    <x v="0"/>
    <n v="607"/>
    <n v="4829"/>
    <n v="10359.5898"/>
    <b v="1"/>
    <n v="23"/>
    <b v="0"/>
    <n v="33286.54896"/>
    <n v="4084.5"/>
    <n v="8205"/>
    <s v="Overstock"/>
    <n v="0.14861060105276044"/>
    <s v="Slow"/>
    <n v="17.066869522240527"/>
    <n v="0.49780621572212064"/>
    <s v="Optimal"/>
    <n v="0"/>
  </r>
  <r>
    <x v="519"/>
    <s v="West"/>
    <x v="3"/>
    <s v="Supplier C"/>
    <x v="2"/>
    <x v="0"/>
    <n v="581"/>
    <n v="3340"/>
    <n v="7827.628189"/>
    <b v="0"/>
    <n v="20"/>
    <b v="0"/>
    <n v="42498.356690000001"/>
    <n v="1992.5"/>
    <n v="7889"/>
    <s v="Overstock"/>
    <n v="0.29159347553324971"/>
    <s v="Slow"/>
    <n v="13.47268190877797"/>
    <n v="0.25256686525541894"/>
    <s v="Under Utilized"/>
    <n v="0"/>
  </r>
  <r>
    <x v="520"/>
    <s v="South"/>
    <x v="2"/>
    <s v="Supplier C"/>
    <x v="2"/>
    <x v="1"/>
    <n v="660"/>
    <n v="645"/>
    <n v="11009.41114"/>
    <b v="1"/>
    <n v="3"/>
    <b v="1"/>
    <n v="21803.770769999999"/>
    <n v="2027"/>
    <n v="8346"/>
    <s v="Understock"/>
    <n v="0.32560434139121858"/>
    <s v="Fast"/>
    <n v="16.680925969696968"/>
    <n v="0.24287083632878026"/>
    <s v="Under Utilized"/>
    <n v="1"/>
  </r>
  <r>
    <x v="521"/>
    <s v="South"/>
    <x v="0"/>
    <s v="Supplier A"/>
    <x v="2"/>
    <x v="2"/>
    <n v="577"/>
    <n v="3409"/>
    <n v="3014.24296"/>
    <b v="1"/>
    <n v="3"/>
    <b v="0"/>
    <n v="110242.6735"/>
    <n v="2837.5"/>
    <n v="5064"/>
    <s v="Overstock"/>
    <n v="0.20334801762114538"/>
    <s v="Fast"/>
    <n v="5.2239912651646447"/>
    <n v="0.560327804107425"/>
    <s v="Optimal"/>
    <n v="0"/>
  </r>
  <r>
    <x v="522"/>
    <s v="West"/>
    <x v="3"/>
    <s v="Supplier C"/>
    <x v="0"/>
    <x v="0"/>
    <n v="779"/>
    <n v="2266"/>
    <n v="10253.342979999999"/>
    <b v="1"/>
    <n v="5"/>
    <b v="0"/>
    <n v="94509.813649999996"/>
    <n v="1364.5"/>
    <n v="7664"/>
    <s v="Overstock"/>
    <n v="0.57090509344082085"/>
    <s v="Fast"/>
    <n v="13.162186110397945"/>
    <n v="0.17804018789144049"/>
    <s v="Under Utilized"/>
    <n v="0"/>
  </r>
  <r>
    <x v="523"/>
    <s v="West"/>
    <x v="2"/>
    <s v="Supplier B"/>
    <x v="0"/>
    <x v="0"/>
    <n v="103"/>
    <n v="463"/>
    <n v="3035.8170749999999"/>
    <b v="1"/>
    <n v="5"/>
    <b v="0"/>
    <n v="18096.988259999998"/>
    <n v="2143"/>
    <n v="9413"/>
    <s v="Understock"/>
    <n v="4.806346243583761E-2"/>
    <s v="Fast"/>
    <n v="29.473952184466018"/>
    <n v="0.22766386911717837"/>
    <s v="Under Utilized"/>
    <n v="0"/>
  </r>
  <r>
    <x v="524"/>
    <s v="North"/>
    <x v="0"/>
    <s v="Supplier D"/>
    <x v="1"/>
    <x v="0"/>
    <n v="974"/>
    <n v="3823"/>
    <n v="14906.88351"/>
    <b v="1"/>
    <n v="5"/>
    <b v="0"/>
    <n v="50469.014000000003"/>
    <n v="3374"/>
    <n v="7880"/>
    <s v="Overstock"/>
    <n v="0.28867812685240068"/>
    <s v="Fast"/>
    <n v="15.304808531827515"/>
    <n v="0.42817258883248732"/>
    <s v="Optimal"/>
    <n v="0"/>
  </r>
  <r>
    <x v="525"/>
    <s v="West"/>
    <x v="3"/>
    <s v="Supplier C"/>
    <x v="2"/>
    <x v="2"/>
    <n v="393"/>
    <n v="2925"/>
    <n v="6352.5754809999999"/>
    <b v="1"/>
    <n v="3"/>
    <b v="0"/>
    <n v="10828.993409999999"/>
    <n v="3311"/>
    <n v="6972"/>
    <s v="Understock"/>
    <n v="0.11869525823014195"/>
    <s v="Fast"/>
    <n v="16.16431420101781"/>
    <n v="0.47489959839357432"/>
    <s v="Optimal"/>
    <n v="0"/>
  </r>
  <r>
    <x v="526"/>
    <s v="South"/>
    <x v="3"/>
    <s v="Supplier C"/>
    <x v="0"/>
    <x v="2"/>
    <n v="615"/>
    <n v="3697"/>
    <n v="898.32315640000002"/>
    <b v="1"/>
    <n v="5"/>
    <b v="0"/>
    <n v="75159.994330000001"/>
    <n v="4261.5"/>
    <n v="8854"/>
    <s v="Understock"/>
    <n v="0.14431538190777896"/>
    <s v="Fast"/>
    <n v="1.460688059186992"/>
    <n v="0.48130788344251185"/>
    <s v="Optimal"/>
    <n v="0"/>
  </r>
  <r>
    <x v="527"/>
    <s v="South"/>
    <x v="1"/>
    <s v="Supplier C"/>
    <x v="1"/>
    <x v="0"/>
    <n v="984"/>
    <n v="4826"/>
    <n v="1881.109543"/>
    <b v="1"/>
    <n v="15"/>
    <b v="0"/>
    <n v="164527.97099999999"/>
    <n v="2736"/>
    <n v="5103"/>
    <s v="Overstock"/>
    <n v="0.35964912280701755"/>
    <s v="Slow"/>
    <n v="1.9116966900406505"/>
    <n v="0.53615520282186946"/>
    <s v="Optimal"/>
    <n v="0"/>
  </r>
  <r>
    <x v="528"/>
    <s v="South"/>
    <x v="2"/>
    <s v="Supplier B"/>
    <x v="0"/>
    <x v="0"/>
    <n v="636"/>
    <n v="646"/>
    <n v="11469.81792"/>
    <b v="1"/>
    <n v="22"/>
    <b v="0"/>
    <n v="57985.965609999999"/>
    <n v="1843"/>
    <n v="7522"/>
    <s v="Understock"/>
    <n v="0.34508952794357028"/>
    <s v="Slow"/>
    <n v="18.034304905660377"/>
    <n v="0.24501462377027386"/>
    <s v="Under Utilized"/>
    <n v="0"/>
  </r>
  <r>
    <x v="529"/>
    <s v="North"/>
    <x v="1"/>
    <s v="Supplier A"/>
    <x v="1"/>
    <x v="2"/>
    <n v="657"/>
    <n v="3040"/>
    <n v="2211.0873860000002"/>
    <b v="1"/>
    <n v="13"/>
    <b v="0"/>
    <n v="89418.860780000003"/>
    <n v="1805.5"/>
    <n v="7421"/>
    <s v="Overstock"/>
    <n v="0.36388811963445028"/>
    <s v="Medium"/>
    <n v="3.3654298112633185"/>
    <n v="0.24329605174504784"/>
    <s v="Under Utilized"/>
    <n v="0"/>
  </r>
  <r>
    <x v="530"/>
    <s v="East"/>
    <x v="3"/>
    <s v="Supplier B"/>
    <x v="2"/>
    <x v="0"/>
    <n v="904"/>
    <n v="571"/>
    <n v="11235.48531"/>
    <b v="1"/>
    <n v="2"/>
    <b v="0"/>
    <n v="83070.637910000005"/>
    <n v="1156"/>
    <n v="5564"/>
    <s v="Understock"/>
    <n v="0.7820069204152249"/>
    <s v="Fast"/>
    <n v="12.428634192477876"/>
    <n v="0.20776419841840402"/>
    <s v="Under Utilized"/>
    <n v="0"/>
  </r>
  <r>
    <x v="531"/>
    <s v="North"/>
    <x v="2"/>
    <s v="Supplier D"/>
    <x v="0"/>
    <x v="0"/>
    <n v="989"/>
    <n v="1741"/>
    <n v="14725.915559999999"/>
    <b v="1"/>
    <n v="24"/>
    <b v="0"/>
    <n v="128137.965"/>
    <n v="3179"/>
    <n v="8928"/>
    <s v="Understock"/>
    <n v="0.31110412079270211"/>
    <s v="Slow"/>
    <n v="14.889702285136501"/>
    <n v="0.35607078853046598"/>
    <s v="Under Utilized"/>
    <n v="0"/>
  </r>
  <r>
    <x v="532"/>
    <s v="West"/>
    <x v="2"/>
    <s v="Supplier A"/>
    <x v="2"/>
    <x v="2"/>
    <n v="773"/>
    <n v="4617"/>
    <n v="7334.1660149999998"/>
    <b v="1"/>
    <n v="24"/>
    <b v="0"/>
    <n v="150321.32519999999"/>
    <n v="4027.5"/>
    <n v="8360"/>
    <s v="Overstock"/>
    <n v="0.19193047796399751"/>
    <s v="Slow"/>
    <n v="9.4879249870633888"/>
    <n v="0.48175837320574161"/>
    <s v="Optimal"/>
    <n v="0"/>
  </r>
  <r>
    <x v="533"/>
    <s v="South"/>
    <x v="3"/>
    <s v="Supplier A"/>
    <x v="2"/>
    <x v="2"/>
    <n v="690"/>
    <n v="3438"/>
    <n v="8226.2834180000009"/>
    <b v="1"/>
    <n v="18"/>
    <b v="0"/>
    <n v="49420.029569999999"/>
    <n v="2213"/>
    <n v="5941"/>
    <s v="Overstock"/>
    <n v="0.31179394487121553"/>
    <s v="Slow"/>
    <n v="11.922149881159422"/>
    <n v="0.3724962127587948"/>
    <s v="Under Utilized"/>
    <n v="0"/>
  </r>
  <r>
    <x v="534"/>
    <s v="North"/>
    <x v="3"/>
    <s v="Supplier B"/>
    <x v="1"/>
    <x v="2"/>
    <n v="296"/>
    <n v="988"/>
    <n v="12817.23423"/>
    <b v="0"/>
    <n v="18"/>
    <b v="0"/>
    <n v="39282.841249999998"/>
    <n v="1130"/>
    <n v="5212"/>
    <s v="Understock"/>
    <n v="0.26194690265486725"/>
    <s v="Slow"/>
    <n v="43.301466993243245"/>
    <n v="0.2168073676132003"/>
    <s v="Under Utilized"/>
    <n v="0"/>
  </r>
  <r>
    <x v="535"/>
    <s v="North"/>
    <x v="0"/>
    <s v="Supplier B"/>
    <x v="1"/>
    <x v="0"/>
    <n v="121"/>
    <n v="1272"/>
    <n v="2124.1698390000001"/>
    <b v="1"/>
    <n v="17"/>
    <b v="0"/>
    <n v="11640.05611"/>
    <n v="2936"/>
    <n v="5246"/>
    <s v="Understock"/>
    <n v="4.1212534059945502E-2"/>
    <s v="Slow"/>
    <n v="17.555122636363638"/>
    <n v="0.55966450629050701"/>
    <s v="Optimal"/>
    <n v="0"/>
  </r>
  <r>
    <x v="536"/>
    <s v="South"/>
    <x v="3"/>
    <s v="Supplier B"/>
    <x v="2"/>
    <x v="2"/>
    <n v="650"/>
    <n v="4600"/>
    <n v="10641.078740000001"/>
    <b v="0"/>
    <n v="3"/>
    <b v="0"/>
    <n v="59795.568579999999"/>
    <n v="3055"/>
    <n v="8573"/>
    <s v="Overstock"/>
    <n v="0.21276595744680851"/>
    <s v="Fast"/>
    <n v="16.370890369230771"/>
    <n v="0.35635133558847543"/>
    <s v="Under Utilized"/>
    <n v="0"/>
  </r>
  <r>
    <x v="537"/>
    <s v="North"/>
    <x v="1"/>
    <s v="Supplier D"/>
    <x v="2"/>
    <x v="0"/>
    <n v="780"/>
    <n v="1510"/>
    <n v="9756.0759440000002"/>
    <b v="1"/>
    <n v="18"/>
    <b v="0"/>
    <n v="62358.70865"/>
    <n v="2476"/>
    <n v="5355"/>
    <s v="Understock"/>
    <n v="0.3150242326332795"/>
    <s v="Slow"/>
    <n v="12.507789671794873"/>
    <n v="0.46237161531279181"/>
    <s v="Optimal"/>
    <n v="0"/>
  </r>
  <r>
    <x v="538"/>
    <s v="East"/>
    <x v="3"/>
    <s v="Supplier B"/>
    <x v="0"/>
    <x v="0"/>
    <n v="557"/>
    <n v="3442"/>
    <n v="9498.0742819999996"/>
    <b v="0"/>
    <n v="22"/>
    <b v="0"/>
    <n v="96110.412200000006"/>
    <n v="2287"/>
    <n v="9288"/>
    <s v="Overstock"/>
    <n v="0.2435505028421513"/>
    <s v="Slow"/>
    <n v="17.05219799281867"/>
    <n v="0.24623169681309215"/>
    <s v="Under Utilized"/>
    <n v="0"/>
  </r>
  <r>
    <x v="539"/>
    <s v="West"/>
    <x v="3"/>
    <s v="Supplier D"/>
    <x v="0"/>
    <x v="0"/>
    <n v="886"/>
    <n v="1132"/>
    <n v="5045.4217179999996"/>
    <b v="1"/>
    <n v="4"/>
    <b v="0"/>
    <n v="169062.9068"/>
    <n v="2298"/>
    <n v="7028"/>
    <s v="Understock"/>
    <n v="0.38555265448215842"/>
    <s v="Fast"/>
    <n v="5.6946069051918728"/>
    <n v="0.32697780307342061"/>
    <s v="Under Utilized"/>
    <n v="0"/>
  </r>
  <r>
    <x v="540"/>
    <s v="South"/>
    <x v="2"/>
    <s v="Supplier D"/>
    <x v="1"/>
    <x v="0"/>
    <n v="990"/>
    <n v="3464"/>
    <n v="3327.4526940000001"/>
    <b v="1"/>
    <n v="5"/>
    <b v="0"/>
    <n v="103649.86"/>
    <n v="2640"/>
    <n v="8317"/>
    <s v="Overstock"/>
    <n v="0.375"/>
    <s v="Fast"/>
    <n v="3.3610633272727273"/>
    <n v="0.3174221474089215"/>
    <s v="Under Utilized"/>
    <n v="0"/>
  </r>
  <r>
    <x v="541"/>
    <s v="West"/>
    <x v="1"/>
    <s v="Supplier C"/>
    <x v="0"/>
    <x v="0"/>
    <n v="839"/>
    <n v="1816"/>
    <n v="13262.243630000001"/>
    <b v="1"/>
    <n v="27"/>
    <b v="0"/>
    <n v="139006.954"/>
    <n v="1225"/>
    <n v="6041"/>
    <s v="Overstock"/>
    <n v="0.68489795918367347"/>
    <s v="Slow"/>
    <n v="15.807203373063171"/>
    <n v="0.20278099652375434"/>
    <s v="Under Utilized"/>
    <n v="0"/>
  </r>
  <r>
    <x v="542"/>
    <s v="East"/>
    <x v="2"/>
    <s v="Supplier D"/>
    <x v="2"/>
    <x v="0"/>
    <n v="656"/>
    <n v="634"/>
    <n v="3410.3362219999999"/>
    <b v="1"/>
    <n v="21"/>
    <b v="0"/>
    <n v="71822.345960000006"/>
    <n v="2603.5"/>
    <n v="9122"/>
    <s v="Understock"/>
    <n v="0.25196850393700787"/>
    <s v="Slow"/>
    <n v="5.1986832652439023"/>
    <n v="0.28540890155667614"/>
    <s v="Under Utilized"/>
    <n v="0"/>
  </r>
  <r>
    <x v="543"/>
    <s v="East"/>
    <x v="2"/>
    <s v="Supplier C"/>
    <x v="0"/>
    <x v="0"/>
    <n v="458"/>
    <n v="4573"/>
    <n v="10171.002699999999"/>
    <b v="1"/>
    <n v="29"/>
    <b v="0"/>
    <n v="29439.629949999999"/>
    <n v="3041.5"/>
    <n v="6418"/>
    <s v="Overstock"/>
    <n v="0.15058359362156831"/>
    <s v="Slow"/>
    <n v="22.207429475982529"/>
    <n v="0.47390152695543786"/>
    <s v="Optimal"/>
    <n v="0"/>
  </r>
  <r>
    <x v="544"/>
    <s v="North"/>
    <x v="3"/>
    <s v="Supplier A"/>
    <x v="0"/>
    <x v="2"/>
    <n v="560"/>
    <n v="1510"/>
    <n v="9027.8279490000004"/>
    <b v="1"/>
    <n v="29"/>
    <b v="0"/>
    <n v="68565.983619999999"/>
    <n v="2948.5"/>
    <n v="8555"/>
    <s v="Understock"/>
    <n v="0.18992708156689841"/>
    <s v="Slow"/>
    <n v="16.1211213375"/>
    <n v="0.34465225014611339"/>
    <s v="Under Utilized"/>
    <n v="0"/>
  </r>
  <r>
    <x v="545"/>
    <s v="South"/>
    <x v="0"/>
    <s v="Supplier C"/>
    <x v="0"/>
    <x v="0"/>
    <n v="375"/>
    <n v="4387"/>
    <n v="2169.7589170000001"/>
    <b v="1"/>
    <n v="25"/>
    <b v="0"/>
    <n v="28394.084449999998"/>
    <n v="2314.5"/>
    <n v="7364"/>
    <s v="Overstock"/>
    <n v="0.16202203499675957"/>
    <s v="Slow"/>
    <n v="5.7860237786666673"/>
    <n v="0.31429929386203148"/>
    <s v="Under Utilized"/>
    <n v="0"/>
  </r>
  <r>
    <x v="546"/>
    <s v="North"/>
    <x v="2"/>
    <s v="Supplier B"/>
    <x v="0"/>
    <x v="0"/>
    <n v="846"/>
    <n v="242"/>
    <n v="11049.278190000001"/>
    <b v="1"/>
    <n v="7"/>
    <b v="0"/>
    <n v="38653.683920000003"/>
    <n v="1741"/>
    <n v="8170"/>
    <s v="Understock"/>
    <n v="0.48592762780011489"/>
    <s v="Fast"/>
    <n v="13.060612517730497"/>
    <n v="0.21309669522643818"/>
    <s v="Under Utilized"/>
    <n v="0"/>
  </r>
  <r>
    <x v="547"/>
    <s v="East"/>
    <x v="3"/>
    <s v="Supplier D"/>
    <x v="0"/>
    <x v="0"/>
    <n v="250"/>
    <n v="3240"/>
    <n v="9241.2725160000009"/>
    <b v="1"/>
    <n v="21"/>
    <b v="0"/>
    <n v="42134.672559999999"/>
    <n v="1891"/>
    <n v="6925"/>
    <s v="Overstock"/>
    <n v="0.13220518244315177"/>
    <s v="Slow"/>
    <n v="36.965090064000002"/>
    <n v="0.27306859205776174"/>
    <s v="Under Utilized"/>
    <n v="0"/>
  </r>
  <r>
    <x v="548"/>
    <s v="West"/>
    <x v="2"/>
    <s v="Supplier A"/>
    <x v="0"/>
    <x v="0"/>
    <n v="694"/>
    <n v="542"/>
    <n v="13046.77111"/>
    <b v="1"/>
    <n v="24"/>
    <b v="0"/>
    <n v="16284.58056"/>
    <n v="1668"/>
    <n v="8002"/>
    <s v="Understock"/>
    <n v="0.41606714628297364"/>
    <s v="Slow"/>
    <n v="18.799382002881845"/>
    <n v="0.20844788802799299"/>
    <s v="Under Utilized"/>
    <n v="0"/>
  </r>
  <r>
    <x v="549"/>
    <s v="East"/>
    <x v="1"/>
    <s v="Supplier D"/>
    <x v="2"/>
    <x v="2"/>
    <n v="340"/>
    <n v="2794"/>
    <n v="12638.848480000001"/>
    <b v="1"/>
    <n v="15"/>
    <b v="0"/>
    <n v="28001.690360000001"/>
    <n v="1854.5"/>
    <n v="9870"/>
    <s v="Overstock"/>
    <n v="0.18333782690752223"/>
    <s v="Slow"/>
    <n v="37.173083764705886"/>
    <n v="0.18789260385005066"/>
    <s v="Under Utilized"/>
    <n v="0"/>
  </r>
  <r>
    <x v="550"/>
    <s v="North"/>
    <x v="3"/>
    <s v="Supplier D"/>
    <x v="0"/>
    <x v="0"/>
    <n v="773"/>
    <n v="915"/>
    <n v="6059.1240230000003"/>
    <b v="1"/>
    <n v="20"/>
    <b v="0"/>
    <n v="75905.652310000005"/>
    <n v="1573"/>
    <n v="5641"/>
    <s v="Understock"/>
    <n v="0.49141767323585506"/>
    <s v="Slow"/>
    <n v="7.8384528111254852"/>
    <n v="0.27885126750576139"/>
    <s v="Under Utilized"/>
    <n v="0"/>
  </r>
  <r>
    <x v="551"/>
    <s v="West"/>
    <x v="2"/>
    <s v="Supplier A"/>
    <x v="0"/>
    <x v="0"/>
    <n v="300"/>
    <n v="2231"/>
    <n v="2096.0695230000001"/>
    <b v="1"/>
    <n v="6"/>
    <b v="0"/>
    <n v="41540.773730000001"/>
    <n v="2064"/>
    <n v="5148"/>
    <s v="Overstock"/>
    <n v="0.14534883720930233"/>
    <s v="Fast"/>
    <n v="6.9868984100000002"/>
    <n v="0.40093240093240096"/>
    <s v="Optimal"/>
    <n v="0"/>
  </r>
  <r>
    <x v="552"/>
    <s v="North"/>
    <x v="0"/>
    <s v="Supplier B"/>
    <x v="0"/>
    <x v="0"/>
    <n v="958"/>
    <n v="1897"/>
    <n v="3430.173573"/>
    <b v="1"/>
    <n v="27"/>
    <b v="0"/>
    <n v="166611.48920000001"/>
    <n v="3286"/>
    <n v="9233"/>
    <s v="Understock"/>
    <n v="0.29153986609860011"/>
    <s v="Slow"/>
    <n v="3.5805569655532361"/>
    <n v="0.35589732481317016"/>
    <s v="Under Utilized"/>
    <n v="0"/>
  </r>
  <r>
    <x v="553"/>
    <s v="North"/>
    <x v="0"/>
    <s v="Supplier B"/>
    <x v="2"/>
    <x v="0"/>
    <n v="985"/>
    <n v="4675"/>
    <n v="8156.9871739999999"/>
    <b v="1"/>
    <n v="22"/>
    <b v="1"/>
    <n v="28498.446499999998"/>
    <n v="3948.5"/>
    <n v="7481"/>
    <s v="Overstock"/>
    <n v="0.24946182094466254"/>
    <s v="Slow"/>
    <n v="8.281205252791878"/>
    <n v="0.52780376954952546"/>
    <s v="Optimal"/>
    <n v="1"/>
  </r>
  <r>
    <x v="554"/>
    <s v="North"/>
    <x v="1"/>
    <s v="Supplier C"/>
    <x v="0"/>
    <x v="0"/>
    <n v="849"/>
    <n v="3222"/>
    <n v="11065.23682"/>
    <b v="1"/>
    <n v="15"/>
    <b v="1"/>
    <n v="138542.4908"/>
    <n v="3770"/>
    <n v="5214"/>
    <s v="Understock"/>
    <n v="0.22519893899204244"/>
    <s v="Slow"/>
    <n v="13.033258916372203"/>
    <n v="0.72305331799002681"/>
    <s v="Optimal"/>
    <n v="1"/>
  </r>
  <r>
    <x v="555"/>
    <s v="West"/>
    <x v="3"/>
    <s v="Supplier B"/>
    <x v="1"/>
    <x v="0"/>
    <n v="239"/>
    <n v="4318"/>
    <n v="1051.7130850000001"/>
    <b v="1"/>
    <n v="27"/>
    <b v="0"/>
    <n v="15233.942349999999"/>
    <n v="4346.5"/>
    <n v="8554"/>
    <s v="Understock"/>
    <n v="5.4986770965144371E-2"/>
    <s v="Slow"/>
    <n v="4.4004731589958164"/>
    <n v="0.50812485386953476"/>
    <s v="Optimal"/>
    <n v="0"/>
  </r>
  <r>
    <x v="556"/>
    <s v="North"/>
    <x v="1"/>
    <s v="Supplier A"/>
    <x v="1"/>
    <x v="0"/>
    <n v="999"/>
    <n v="4375"/>
    <n v="7076.8057390000004"/>
    <b v="1"/>
    <n v="27"/>
    <b v="0"/>
    <n v="29515.094150000001"/>
    <n v="2499"/>
    <n v="9053"/>
    <s v="Overstock"/>
    <n v="0.39975990396158462"/>
    <s v="Slow"/>
    <n v="7.0838896286286293"/>
    <n v="0.27604109135093341"/>
    <s v="Under Utilized"/>
    <n v="0"/>
  </r>
  <r>
    <x v="557"/>
    <s v="West"/>
    <x v="0"/>
    <s v="Supplier A"/>
    <x v="2"/>
    <x v="0"/>
    <n v="159"/>
    <n v="623"/>
    <n v="7656.3830639999996"/>
    <b v="0"/>
    <n v="10"/>
    <b v="0"/>
    <n v="21296.444080000001"/>
    <n v="1906"/>
    <n v="8549"/>
    <s v="Understock"/>
    <n v="8.3420776495278071E-2"/>
    <s v="Medium"/>
    <n v="48.153352603773584"/>
    <n v="0.2229500526377354"/>
    <s v="Under Utilized"/>
    <n v="0"/>
  </r>
  <r>
    <x v="558"/>
    <s v="South"/>
    <x v="3"/>
    <s v="Supplier D"/>
    <x v="2"/>
    <x v="0"/>
    <n v="132"/>
    <n v="3189"/>
    <n v="13763.071120000001"/>
    <b v="1"/>
    <n v="25"/>
    <b v="0"/>
    <n v="16694.266479999998"/>
    <n v="1783"/>
    <n v="5224"/>
    <s v="Overstock"/>
    <n v="7.4032529444756023E-2"/>
    <s v="Slow"/>
    <n v="104.26569030303031"/>
    <n v="0.34130934150076569"/>
    <s v="Under Utilized"/>
    <n v="0"/>
  </r>
  <r>
    <x v="559"/>
    <s v="South"/>
    <x v="3"/>
    <s v="Supplier C"/>
    <x v="1"/>
    <x v="0"/>
    <n v="525"/>
    <n v="377"/>
    <n v="2344.7608610000002"/>
    <b v="1"/>
    <n v="3"/>
    <b v="0"/>
    <n v="22899.863140000001"/>
    <n v="1952"/>
    <n v="6675"/>
    <s v="Understock"/>
    <n v="0.26895491803278687"/>
    <s v="Fast"/>
    <n v="4.4662111638095245"/>
    <n v="0.29243445692883896"/>
    <s v="Under Utilized"/>
    <n v="0"/>
  </r>
  <r>
    <x v="560"/>
    <s v="West"/>
    <x v="2"/>
    <s v="Supplier C"/>
    <x v="0"/>
    <x v="2"/>
    <n v="834"/>
    <n v="3527"/>
    <n v="1002.435292"/>
    <b v="1"/>
    <n v="26"/>
    <b v="0"/>
    <n v="44140.550640000001"/>
    <n v="2811.5"/>
    <n v="6795"/>
    <s v="Overstock"/>
    <n v="0.29663880490841188"/>
    <s v="Slow"/>
    <n v="1.2019607817745803"/>
    <n v="0.41376011773362764"/>
    <s v="Optimal"/>
    <n v="0"/>
  </r>
  <r>
    <x v="561"/>
    <s v="South"/>
    <x v="0"/>
    <s v="Supplier C"/>
    <x v="1"/>
    <x v="0"/>
    <n v="404"/>
    <n v="2096"/>
    <n v="5162.2286279999998"/>
    <b v="1"/>
    <n v="1"/>
    <b v="1"/>
    <n v="48434.629180000004"/>
    <n v="1216.5"/>
    <n v="6200"/>
    <s v="Overstock"/>
    <n v="0.33210028771064531"/>
    <s v="Fast"/>
    <n v="12.777793633663366"/>
    <n v="0.19620967741935483"/>
    <s v="Under Utilized"/>
    <n v="1"/>
  </r>
  <r>
    <x v="562"/>
    <s v="East"/>
    <x v="0"/>
    <s v="Supplier D"/>
    <x v="0"/>
    <x v="0"/>
    <n v="336"/>
    <n v="337"/>
    <n v="11154.009690000001"/>
    <b v="1"/>
    <n v="15"/>
    <b v="0"/>
    <n v="65421.892099999997"/>
    <n v="984.5"/>
    <n v="7786"/>
    <s v="Understock"/>
    <n v="0.34128999492127982"/>
    <s v="Slow"/>
    <n v="33.196457410714288"/>
    <n v="0.12644490110454662"/>
    <s v="Under Utilized"/>
    <n v="0"/>
  </r>
  <r>
    <x v="563"/>
    <s v="North"/>
    <x v="3"/>
    <s v="Supplier A"/>
    <x v="2"/>
    <x v="0"/>
    <n v="294"/>
    <n v="1632"/>
    <n v="8957.5048590000006"/>
    <b v="1"/>
    <n v="3"/>
    <b v="0"/>
    <n v="12468.81806"/>
    <n v="2679.5"/>
    <n v="7407"/>
    <s v="Understock"/>
    <n v="0.10972196305280836"/>
    <s v="Fast"/>
    <n v="30.467703602040817"/>
    <n v="0.36175239638180101"/>
    <s v="Under Utilized"/>
    <n v="0"/>
  </r>
  <r>
    <x v="564"/>
    <s v="South"/>
    <x v="3"/>
    <s v="Supplier C"/>
    <x v="2"/>
    <x v="2"/>
    <n v="914"/>
    <n v="3727"/>
    <n v="2293.5173340000001"/>
    <b v="1"/>
    <n v="13"/>
    <b v="0"/>
    <n v="151224.93789999999"/>
    <n v="3274"/>
    <n v="9766"/>
    <s v="Overstock"/>
    <n v="0.27916921197312156"/>
    <s v="Medium"/>
    <n v="2.5093187461706785"/>
    <n v="0.33524472660249849"/>
    <s v="Under Utilized"/>
    <n v="0"/>
  </r>
  <r>
    <x v="565"/>
    <s v="South"/>
    <x v="0"/>
    <s v="Supplier D"/>
    <x v="2"/>
    <x v="0"/>
    <n v="92"/>
    <n v="2821"/>
    <n v="2291.7140669999999"/>
    <b v="1"/>
    <n v="7"/>
    <b v="0"/>
    <n v="7442.0094069999996"/>
    <n v="3165.5"/>
    <n v="6393"/>
    <s v="Understock"/>
    <n v="2.9063339124940767E-2"/>
    <s v="Fast"/>
    <n v="24.909935510869563"/>
    <n v="0.49515094634756768"/>
    <s v="Optimal"/>
    <n v="0"/>
  </r>
  <r>
    <x v="566"/>
    <s v="North"/>
    <x v="1"/>
    <s v="Supplier A"/>
    <x v="0"/>
    <x v="0"/>
    <n v="896"/>
    <n v="3510"/>
    <n v="3898.3663150000002"/>
    <b v="1"/>
    <n v="2"/>
    <b v="0"/>
    <n v="73751.116469999994"/>
    <n v="3220.5"/>
    <n v="8497"/>
    <s v="Overstock"/>
    <n v="0.2782176680639652"/>
    <s v="Fast"/>
    <n v="4.3508552622767862"/>
    <n v="0.37901612333764856"/>
    <s v="Under Utilized"/>
    <n v="0"/>
  </r>
  <r>
    <x v="567"/>
    <s v="North"/>
    <x v="0"/>
    <s v="Supplier C"/>
    <x v="1"/>
    <x v="0"/>
    <n v="255"/>
    <n v="2931"/>
    <n v="8028.5011320000003"/>
    <b v="1"/>
    <n v="22"/>
    <b v="0"/>
    <n v="25666.649460000001"/>
    <n v="1554"/>
    <n v="5359"/>
    <s v="Overstock"/>
    <n v="0.1640926640926641"/>
    <s v="Slow"/>
    <n v="31.484318164705883"/>
    <n v="0.28997947378242211"/>
    <s v="Under Utilized"/>
    <n v="0"/>
  </r>
  <r>
    <x v="568"/>
    <s v="West"/>
    <x v="2"/>
    <s v="Supplier D"/>
    <x v="1"/>
    <x v="0"/>
    <n v="940"/>
    <n v="177"/>
    <n v="4379.1419390000001"/>
    <b v="1"/>
    <n v="29"/>
    <b v="0"/>
    <n v="74700.454089999999"/>
    <n v="906"/>
    <n v="5034"/>
    <s v="Understock"/>
    <n v="1.0375275938189845"/>
    <s v="Slow"/>
    <n v="4.6586616372340428"/>
    <n v="0.1799761620977354"/>
    <s v="Under Utilized"/>
    <n v="0"/>
  </r>
  <r>
    <x v="569"/>
    <s v="North"/>
    <x v="3"/>
    <s v="Supplier C"/>
    <x v="0"/>
    <x v="0"/>
    <n v="817"/>
    <n v="1635"/>
    <n v="4586.0615809999999"/>
    <b v="1"/>
    <n v="26"/>
    <b v="0"/>
    <n v="72675.786170000007"/>
    <n v="2807"/>
    <n v="9572"/>
    <s v="Understock"/>
    <n v="0.29105806911293197"/>
    <s v="Slow"/>
    <n v="5.6132944687882498"/>
    <n v="0.29325114918512329"/>
    <s v="Under Utilized"/>
    <n v="0"/>
  </r>
  <r>
    <x v="570"/>
    <s v="East"/>
    <x v="2"/>
    <s v="Supplier C"/>
    <x v="0"/>
    <x v="0"/>
    <n v="665"/>
    <n v="3979"/>
    <n v="3240.29207"/>
    <b v="1"/>
    <n v="29"/>
    <b v="0"/>
    <n v="106360.2417"/>
    <n v="2689"/>
    <n v="9093"/>
    <s v="Overstock"/>
    <n v="0.24730383042023057"/>
    <s v="Slow"/>
    <n v="4.8726196541353382"/>
    <n v="0.29572198394369292"/>
    <s v="Under Utilized"/>
    <n v="0"/>
  </r>
  <r>
    <x v="571"/>
    <s v="East"/>
    <x v="3"/>
    <s v="Supplier C"/>
    <x v="1"/>
    <x v="1"/>
    <n v="904"/>
    <n v="1399"/>
    <n v="6718.8236459999998"/>
    <b v="1"/>
    <n v="10"/>
    <b v="0"/>
    <n v="27448.093919999999"/>
    <n v="2387.5"/>
    <n v="6514"/>
    <s v="Understock"/>
    <n v="0.37863874345549736"/>
    <s v="Medium"/>
    <n v="7.4323270420353982"/>
    <n v="0.36651826834510287"/>
    <s v="Under Utilized"/>
    <n v="0"/>
  </r>
  <r>
    <x v="572"/>
    <s v="South"/>
    <x v="0"/>
    <s v="Supplier A"/>
    <x v="2"/>
    <x v="0"/>
    <n v="421"/>
    <n v="3376"/>
    <n v="12403.328600000001"/>
    <b v="1"/>
    <n v="21"/>
    <b v="0"/>
    <n v="53844.683550000002"/>
    <n v="2289"/>
    <n v="5022"/>
    <s v="Overstock"/>
    <n v="0.18392311052861512"/>
    <s v="Slow"/>
    <n v="29.46158812351544"/>
    <n v="0.45579450418160095"/>
    <s v="Optimal"/>
    <n v="0"/>
  </r>
  <r>
    <x v="573"/>
    <s v="North"/>
    <x v="3"/>
    <s v="Supplier A"/>
    <x v="0"/>
    <x v="0"/>
    <n v="844"/>
    <n v="1202"/>
    <n v="3161.6796559999998"/>
    <b v="1"/>
    <n v="12"/>
    <b v="0"/>
    <n v="129531.30100000001"/>
    <n v="1391"/>
    <n v="6452"/>
    <s v="Understock"/>
    <n v="0.60675772825305541"/>
    <s v="Medium"/>
    <n v="3.7460659431279617"/>
    <n v="0.21559206447613144"/>
    <s v="Under Utilized"/>
    <n v="0"/>
  </r>
  <r>
    <x v="574"/>
    <s v="South"/>
    <x v="2"/>
    <s v="Supplier C"/>
    <x v="1"/>
    <x v="0"/>
    <n v="158"/>
    <n v="1580"/>
    <n v="10408.232260000001"/>
    <b v="0"/>
    <n v="15"/>
    <b v="0"/>
    <n v="7616.812371"/>
    <n v="2236.5"/>
    <n v="7907"/>
    <s v="Understock"/>
    <n v="7.0646098815112898E-2"/>
    <s v="Slow"/>
    <n v="65.874887721518988"/>
    <n v="0.28285063867459215"/>
    <s v="Under Utilized"/>
    <n v="0"/>
  </r>
  <r>
    <x v="575"/>
    <s v="North"/>
    <x v="2"/>
    <s v="Supplier C"/>
    <x v="1"/>
    <x v="0"/>
    <n v="822"/>
    <n v="2893"/>
    <n v="12365.357389999999"/>
    <b v="1"/>
    <n v="26"/>
    <b v="0"/>
    <n v="130279.7991"/>
    <n v="2297"/>
    <n v="8842"/>
    <s v="Overstock"/>
    <n v="0.35785807575097955"/>
    <s v="Slow"/>
    <n v="15.043013856447688"/>
    <n v="0.25978285455779238"/>
    <s v="Under Utilized"/>
    <n v="0"/>
  </r>
  <r>
    <x v="576"/>
    <s v="South"/>
    <x v="0"/>
    <s v="Supplier D"/>
    <x v="2"/>
    <x v="0"/>
    <n v="659"/>
    <n v="1701"/>
    <n v="7207.849397"/>
    <b v="1"/>
    <n v="19"/>
    <b v="0"/>
    <n v="90610.362250000006"/>
    <n v="1880"/>
    <n v="7519"/>
    <s v="Understock"/>
    <n v="0.35053191489361701"/>
    <s v="Slow"/>
    <n v="10.937555989377845"/>
    <n v="0.25003324910227426"/>
    <s v="Under Utilized"/>
    <n v="0"/>
  </r>
  <r>
    <x v="577"/>
    <s v="East"/>
    <x v="0"/>
    <s v="Supplier B"/>
    <x v="0"/>
    <x v="0"/>
    <n v="605"/>
    <n v="2059"/>
    <n v="8959.6801200000009"/>
    <b v="1"/>
    <n v="16"/>
    <b v="0"/>
    <n v="79903.97438"/>
    <n v="2244"/>
    <n v="7006"/>
    <s v="Understock"/>
    <n v="0.26960784313725489"/>
    <s v="Slow"/>
    <n v="14.809388628099175"/>
    <n v="0.32029688838138737"/>
    <s v="Under Utilized"/>
    <n v="0"/>
  </r>
  <r>
    <x v="578"/>
    <s v="South"/>
    <x v="1"/>
    <s v="Supplier B"/>
    <x v="2"/>
    <x v="0"/>
    <n v="544"/>
    <n v="2429"/>
    <n v="13797.613300000001"/>
    <b v="1"/>
    <n v="26"/>
    <b v="0"/>
    <n v="41955.311869999998"/>
    <n v="2662"/>
    <n v="7296"/>
    <s v="Understock"/>
    <n v="0.20435762584522915"/>
    <s v="Slow"/>
    <n v="25.36325974264706"/>
    <n v="0.36485745614035087"/>
    <s v="Under Utilized"/>
    <n v="0"/>
  </r>
  <r>
    <x v="579"/>
    <s v="West"/>
    <x v="1"/>
    <s v="Supplier B"/>
    <x v="0"/>
    <x v="0"/>
    <n v="359"/>
    <n v="2895"/>
    <n v="14206.952079999999"/>
    <b v="1"/>
    <n v="20"/>
    <b v="0"/>
    <n v="37573.83986"/>
    <n v="2826"/>
    <n v="7450"/>
    <s v="Overstock"/>
    <n v="0.12703467799009199"/>
    <s v="Slow"/>
    <n v="39.573682674094705"/>
    <n v="0.3793288590604027"/>
    <s v="Under Utilized"/>
    <n v="0"/>
  </r>
  <r>
    <x v="580"/>
    <s v="East"/>
    <x v="1"/>
    <s v="Supplier C"/>
    <x v="2"/>
    <x v="0"/>
    <n v="730"/>
    <n v="2757"/>
    <n v="10980.1458"/>
    <b v="1"/>
    <n v="16"/>
    <b v="0"/>
    <n v="115141.1253"/>
    <n v="2899"/>
    <n v="5050"/>
    <s v="Understock"/>
    <n v="0.25181096929975855"/>
    <s v="Slow"/>
    <n v="15.041295616438356"/>
    <n v="0.57405940594059401"/>
    <s v="Optimal"/>
    <n v="0"/>
  </r>
  <r>
    <x v="581"/>
    <s v="East"/>
    <x v="3"/>
    <s v="Supplier D"/>
    <x v="1"/>
    <x v="0"/>
    <n v="450"/>
    <n v="3041"/>
    <n v="4648.3038690000003"/>
    <b v="1"/>
    <n v="17"/>
    <b v="0"/>
    <n v="32058.625749999999"/>
    <n v="2446"/>
    <n v="8256"/>
    <s v="Overstock"/>
    <n v="0.18397383483237939"/>
    <s v="Slow"/>
    <n v="10.329564153333335"/>
    <n v="0.29626937984496127"/>
    <s v="Under Utilized"/>
    <n v="0"/>
  </r>
  <r>
    <x v="582"/>
    <s v="West"/>
    <x v="1"/>
    <s v="Supplier C"/>
    <x v="0"/>
    <x v="0"/>
    <n v="605"/>
    <n v="1851"/>
    <n v="7594.5492850000001"/>
    <b v="0"/>
    <n v="12"/>
    <b v="0"/>
    <n v="34016.164700000001"/>
    <n v="2806"/>
    <n v="5304"/>
    <s v="Understock"/>
    <n v="0.21560940841054882"/>
    <s v="Medium"/>
    <n v="12.552974024793388"/>
    <n v="0.52903469079939669"/>
    <s v="Optimal"/>
    <n v="0"/>
  </r>
  <r>
    <x v="583"/>
    <s v="North"/>
    <x v="3"/>
    <s v="Supplier C"/>
    <x v="0"/>
    <x v="2"/>
    <n v="576"/>
    <n v="3761"/>
    <n v="3944.6202109999999"/>
    <b v="1"/>
    <n v="28"/>
    <b v="0"/>
    <n v="66611.491030000005"/>
    <n v="2208"/>
    <n v="6673"/>
    <s v="Overstock"/>
    <n v="0.2608695652173913"/>
    <s v="Slow"/>
    <n v="6.8482989774305558"/>
    <n v="0.33088565862430691"/>
    <s v="Under Utilized"/>
    <n v="0"/>
  </r>
  <r>
    <x v="584"/>
    <s v="East"/>
    <x v="1"/>
    <s v="Supplier D"/>
    <x v="0"/>
    <x v="0"/>
    <n v="849"/>
    <n v="655"/>
    <n v="10128.47898"/>
    <b v="1"/>
    <n v="29"/>
    <b v="0"/>
    <n v="92179.926219999994"/>
    <n v="2790"/>
    <n v="6055"/>
    <s v="Understock"/>
    <n v="0.30430107526881722"/>
    <s v="Slow"/>
    <n v="11.929892791519434"/>
    <n v="0.46077621800165153"/>
    <s v="Optimal"/>
    <n v="0"/>
  </r>
  <r>
    <x v="585"/>
    <s v="South"/>
    <x v="0"/>
    <s v="Supplier D"/>
    <x v="1"/>
    <x v="0"/>
    <n v="607"/>
    <n v="4925"/>
    <n v="1611.024829"/>
    <b v="0"/>
    <n v="5"/>
    <b v="1"/>
    <n v="13017.561449999999"/>
    <n v="3094"/>
    <n v="8499"/>
    <s v="Overstock"/>
    <n v="0.19618616677440207"/>
    <s v="Fast"/>
    <n v="2.654077148270181"/>
    <n v="0.36404282856806686"/>
    <s v="Under Utilized"/>
    <n v="1"/>
  </r>
  <r>
    <x v="586"/>
    <s v="South"/>
    <x v="2"/>
    <s v="Supplier C"/>
    <x v="0"/>
    <x v="0"/>
    <n v="760"/>
    <n v="1263"/>
    <n v="11099.65006"/>
    <b v="0"/>
    <n v="16"/>
    <b v="0"/>
    <n v="46274.085359999997"/>
    <n v="2360"/>
    <n v="6229"/>
    <s v="Understock"/>
    <n v="0.32203389830508472"/>
    <s v="Slow"/>
    <n v="14.604802710526316"/>
    <n v="0.37887301332477125"/>
    <s v="Under Utilized"/>
    <n v="0"/>
  </r>
  <r>
    <x v="587"/>
    <s v="West"/>
    <x v="1"/>
    <s v="Supplier A"/>
    <x v="0"/>
    <x v="0"/>
    <n v="366"/>
    <n v="3457"/>
    <n v="4501.2580079999998"/>
    <b v="1"/>
    <n v="24"/>
    <b v="0"/>
    <n v="64864.412510000002"/>
    <n v="4136"/>
    <n v="6859"/>
    <s v="Understock"/>
    <n v="8.8491295938104453E-2"/>
    <s v="Slow"/>
    <n v="12.298519147540983"/>
    <n v="0.60300335325849252"/>
    <s v="Optimal"/>
    <n v="0"/>
  </r>
  <r>
    <x v="588"/>
    <s v="South"/>
    <x v="2"/>
    <s v="Supplier D"/>
    <x v="0"/>
    <x v="0"/>
    <n v="191"/>
    <n v="4815"/>
    <n v="7713.98819"/>
    <b v="1"/>
    <n v="7"/>
    <b v="0"/>
    <n v="37342.869559999999"/>
    <n v="2656"/>
    <n v="9897"/>
    <s v="Overstock"/>
    <n v="7.1912650602409645E-2"/>
    <s v="Fast"/>
    <n v="40.387372722513092"/>
    <n v="0.26836415075275338"/>
    <s v="Under Utilized"/>
    <n v="0"/>
  </r>
  <r>
    <x v="589"/>
    <s v="North"/>
    <x v="3"/>
    <s v="Supplier B"/>
    <x v="1"/>
    <x v="2"/>
    <n v="648"/>
    <n v="497"/>
    <n v="3174.3102629999998"/>
    <b v="1"/>
    <n v="20"/>
    <b v="0"/>
    <n v="109715.4945"/>
    <n v="1067"/>
    <n v="6696"/>
    <s v="Understock"/>
    <n v="0.6073102155576382"/>
    <s v="Slow"/>
    <n v="4.8986269490740737"/>
    <n v="0.15934886499402628"/>
    <s v="Under Utilized"/>
    <n v="0"/>
  </r>
  <r>
    <x v="590"/>
    <s v="West"/>
    <x v="3"/>
    <s v="Supplier A"/>
    <x v="1"/>
    <x v="2"/>
    <n v="386"/>
    <n v="1637"/>
    <n v="4532.6264300000003"/>
    <b v="1"/>
    <n v="10"/>
    <b v="1"/>
    <n v="39366.136939999997"/>
    <n v="2121.5"/>
    <n v="7568"/>
    <s v="Understock"/>
    <n v="0.1819467358001414"/>
    <s v="Medium"/>
    <n v="11.742555518134715"/>
    <n v="0.28032505285412262"/>
    <s v="Under Utilized"/>
    <n v="1"/>
  </r>
  <r>
    <x v="591"/>
    <s v="West"/>
    <x v="0"/>
    <s v="Supplier D"/>
    <x v="2"/>
    <x v="0"/>
    <n v="961"/>
    <n v="2606"/>
    <n v="5267.0218500000001"/>
    <b v="1"/>
    <n v="7"/>
    <b v="0"/>
    <n v="186753.47510000001"/>
    <n v="3349.5"/>
    <n v="9777"/>
    <s v="Understock"/>
    <n v="0.28690849380504552"/>
    <s v="Fast"/>
    <n v="5.4807719562955253"/>
    <n v="0.34258975145750231"/>
    <s v="Under Utilized"/>
    <n v="0"/>
  </r>
  <r>
    <x v="592"/>
    <s v="West"/>
    <x v="2"/>
    <s v="Supplier A"/>
    <x v="2"/>
    <x v="0"/>
    <n v="445"/>
    <n v="4093"/>
    <n v="10249.246940000001"/>
    <b v="1"/>
    <n v="2"/>
    <b v="0"/>
    <n v="68134.226739999998"/>
    <n v="4014.5"/>
    <n v="8362"/>
    <s v="Overstock"/>
    <n v="0.1108481753643044"/>
    <s v="Fast"/>
    <n v="23.032015595505619"/>
    <n v="0.48008849557522126"/>
    <s v="Optimal"/>
    <n v="0"/>
  </r>
  <r>
    <x v="593"/>
    <s v="East"/>
    <x v="0"/>
    <s v="Supplier B"/>
    <x v="0"/>
    <x v="0"/>
    <n v="759"/>
    <n v="3936"/>
    <n v="4828.1499219999996"/>
    <b v="1"/>
    <n v="25"/>
    <b v="0"/>
    <n v="70162.054810000001"/>
    <n v="2051.5"/>
    <n v="7710"/>
    <s v="Overstock"/>
    <n v="0.36997319034852549"/>
    <s v="Slow"/>
    <n v="6.3611988432147557"/>
    <n v="0.26608300907911803"/>
    <s v="Under Utilized"/>
    <n v="0"/>
  </r>
  <r>
    <x v="594"/>
    <s v="East"/>
    <x v="1"/>
    <s v="Supplier A"/>
    <x v="2"/>
    <x v="0"/>
    <n v="767"/>
    <n v="167"/>
    <n v="1689.1557479999999"/>
    <b v="0"/>
    <n v="1"/>
    <b v="0"/>
    <n v="54937.350980000003"/>
    <n v="1638.5"/>
    <n v="5715"/>
    <s v="Understock"/>
    <n v="0.46811107720476047"/>
    <s v="Fast"/>
    <n v="2.2022891108213818"/>
    <n v="0.2867016622922135"/>
    <s v="Under Utilized"/>
    <n v="0"/>
  </r>
  <r>
    <x v="595"/>
    <s v="East"/>
    <x v="2"/>
    <s v="Supplier A"/>
    <x v="2"/>
    <x v="0"/>
    <n v="792"/>
    <n v="3110"/>
    <n v="4710.2473380000001"/>
    <b v="1"/>
    <n v="17"/>
    <b v="0"/>
    <n v="127111.01330000001"/>
    <n v="1966.5"/>
    <n v="5995"/>
    <s v="Overstock"/>
    <n v="0.40274599542334094"/>
    <s v="Slow"/>
    <n v="5.9472819924242426"/>
    <n v="0.32802335279399497"/>
    <s v="Under Utilized"/>
    <n v="0"/>
  </r>
  <r>
    <x v="596"/>
    <s v="South"/>
    <x v="0"/>
    <s v="Supplier D"/>
    <x v="0"/>
    <x v="0"/>
    <n v="511"/>
    <n v="823"/>
    <n v="13220.991169999999"/>
    <b v="1"/>
    <n v="14"/>
    <b v="0"/>
    <n v="102041.5579"/>
    <n v="611.5"/>
    <n v="6244"/>
    <s v="Overstock"/>
    <n v="0.83565004088307437"/>
    <s v="Medium"/>
    <n v="25.872781154598826"/>
    <n v="9.7934016655989747E-2"/>
    <s v="Under Utilized"/>
    <n v="0"/>
  </r>
  <r>
    <x v="597"/>
    <s v="West"/>
    <x v="1"/>
    <s v="Supplier B"/>
    <x v="2"/>
    <x v="0"/>
    <n v="804"/>
    <n v="400"/>
    <n v="10498.954449999999"/>
    <b v="1"/>
    <n v="26"/>
    <b v="0"/>
    <n v="148799.5569"/>
    <n v="1846"/>
    <n v="7302"/>
    <s v="Understock"/>
    <n v="0.43553629469122429"/>
    <s v="Slow"/>
    <n v="13.05840105721393"/>
    <n v="0.25280745001369487"/>
    <s v="Under Utilized"/>
    <n v="0"/>
  </r>
  <r>
    <x v="598"/>
    <s v="West"/>
    <x v="2"/>
    <s v="Supplier B"/>
    <x v="1"/>
    <x v="0"/>
    <n v="153"/>
    <n v="3292"/>
    <n v="3551.6652469999999"/>
    <b v="1"/>
    <n v="5"/>
    <b v="0"/>
    <n v="7107.2895790000002"/>
    <n v="4012.5"/>
    <n v="8091"/>
    <s v="Understock"/>
    <n v="3.8130841121495326E-2"/>
    <s v="Fast"/>
    <n v="23.213498346405228"/>
    <n v="0.49592139414163888"/>
    <s v="Optimal"/>
    <n v="0"/>
  </r>
  <r>
    <x v="599"/>
    <s v="North"/>
    <x v="1"/>
    <s v="Supplier D"/>
    <x v="2"/>
    <x v="0"/>
    <n v="710"/>
    <n v="4733"/>
    <n v="6986.5829610000001"/>
    <b v="1"/>
    <n v="10"/>
    <b v="0"/>
    <n v="19048.516390000001"/>
    <n v="4563.5"/>
    <n v="7181"/>
    <s v="Overstock"/>
    <n v="0.15558233811767283"/>
    <s v="Medium"/>
    <n v="9.8402576915492954"/>
    <n v="0.63549644896253998"/>
    <s v="Optimal"/>
    <n v="0"/>
  </r>
  <r>
    <x v="600"/>
    <s v="South"/>
    <x v="2"/>
    <s v="Supplier D"/>
    <x v="0"/>
    <x v="0"/>
    <n v="501"/>
    <n v="4394"/>
    <n v="2972.8017089999998"/>
    <b v="1"/>
    <n v="13"/>
    <b v="0"/>
    <n v="40105.390870000003"/>
    <n v="2925.5"/>
    <n v="8978"/>
    <s v="Overstock"/>
    <n v="0.17125277730302513"/>
    <s v="Medium"/>
    <n v="5.9337359461077845"/>
    <n v="0.32585208286923589"/>
    <s v="Under Utilized"/>
    <n v="0"/>
  </r>
  <r>
    <x v="601"/>
    <s v="West"/>
    <x v="1"/>
    <s v="Supplier B"/>
    <x v="0"/>
    <x v="2"/>
    <n v="748"/>
    <n v="1457"/>
    <n v="11787.2119"/>
    <b v="1"/>
    <n v="5"/>
    <b v="0"/>
    <n v="62596.013120000003"/>
    <n v="2871"/>
    <n v="5983"/>
    <s v="Understock"/>
    <n v="0.26053639846743293"/>
    <s v="Fast"/>
    <n v="15.758304679144386"/>
    <n v="0.47985960220625107"/>
    <s v="Optimal"/>
    <n v="0"/>
  </r>
  <r>
    <x v="602"/>
    <s v="East"/>
    <x v="3"/>
    <s v="Supplier A"/>
    <x v="2"/>
    <x v="2"/>
    <n v="449"/>
    <n v="4285"/>
    <n v="2040.8556189999999"/>
    <b v="1"/>
    <n v="18"/>
    <b v="0"/>
    <n v="58558.663090000002"/>
    <n v="3549"/>
    <n v="9469"/>
    <s v="Overstock"/>
    <n v="0.12651451112989576"/>
    <s v="Slow"/>
    <n v="4.5453354543429842"/>
    <n v="0.37480198542612736"/>
    <s v="Under Utilized"/>
    <n v="0"/>
  </r>
  <r>
    <x v="603"/>
    <s v="North"/>
    <x v="1"/>
    <s v="Supplier C"/>
    <x v="1"/>
    <x v="2"/>
    <n v="172"/>
    <n v="2813"/>
    <n v="11710.93153"/>
    <b v="1"/>
    <n v="1"/>
    <b v="0"/>
    <n v="12421.256520000001"/>
    <n v="2135"/>
    <n v="7884"/>
    <s v="Overstock"/>
    <n v="8.0562060889929746E-2"/>
    <s v="Fast"/>
    <n v="68.08681122093023"/>
    <n v="0.27080162354134957"/>
    <s v="Under Utilized"/>
    <n v="0"/>
  </r>
  <r>
    <x v="604"/>
    <s v="West"/>
    <x v="3"/>
    <s v="Supplier A"/>
    <x v="2"/>
    <x v="0"/>
    <n v="926"/>
    <n v="1457"/>
    <n v="14685.796710000001"/>
    <b v="1"/>
    <n v="3"/>
    <b v="0"/>
    <n v="110317.8901"/>
    <n v="2430.5"/>
    <n v="7109"/>
    <s v="Understock"/>
    <n v="0.38099156552149765"/>
    <s v="Fast"/>
    <n v="15.859391695464364"/>
    <n v="0.34189056126037415"/>
    <s v="Under Utilized"/>
    <n v="0"/>
  </r>
  <r>
    <x v="605"/>
    <s v="West"/>
    <x v="0"/>
    <s v="Supplier B"/>
    <x v="2"/>
    <x v="2"/>
    <n v="529"/>
    <n v="3404"/>
    <n v="8582.8940239999993"/>
    <b v="1"/>
    <n v="27"/>
    <b v="0"/>
    <n v="39211.613019999997"/>
    <n v="3323"/>
    <n v="8288"/>
    <s v="Overstock"/>
    <n v="0.15919349984953354"/>
    <s v="Slow"/>
    <n v="16.224752408317578"/>
    <n v="0.40094111969111967"/>
    <s v="Optimal"/>
    <n v="0"/>
  </r>
  <r>
    <x v="606"/>
    <s v="West"/>
    <x v="1"/>
    <s v="Supplier B"/>
    <x v="1"/>
    <x v="0"/>
    <n v="712"/>
    <n v="3242"/>
    <n v="8152.5499470000004"/>
    <b v="1"/>
    <n v="6"/>
    <b v="0"/>
    <n v="118364.38370000001"/>
    <n v="3792.5"/>
    <n v="5591"/>
    <s v="Understock"/>
    <n v="0.1877389584706658"/>
    <s v="Fast"/>
    <n v="11.450210599719101"/>
    <n v="0.67832230370237878"/>
    <s v="Optimal"/>
    <n v="0"/>
  </r>
  <r>
    <x v="607"/>
    <s v="North"/>
    <x v="1"/>
    <s v="Supplier B"/>
    <x v="2"/>
    <x v="0"/>
    <n v="244"/>
    <n v="4343"/>
    <n v="9266.3245989999996"/>
    <b v="1"/>
    <n v="11"/>
    <b v="0"/>
    <n v="7498.7530310000002"/>
    <n v="3824"/>
    <n v="7565"/>
    <s v="Overstock"/>
    <n v="6.3807531380753138E-2"/>
    <s v="Medium"/>
    <n v="37.976740159836062"/>
    <n v="0.50548578982154657"/>
    <s v="Optimal"/>
    <n v="0"/>
  </r>
  <r>
    <x v="608"/>
    <s v="West"/>
    <x v="3"/>
    <s v="Supplier B"/>
    <x v="0"/>
    <x v="0"/>
    <n v="343"/>
    <n v="3305"/>
    <n v="13671.03455"/>
    <b v="1"/>
    <n v="16"/>
    <b v="0"/>
    <n v="66987.213340000002"/>
    <n v="3993.5"/>
    <n v="5350"/>
    <s v="Understock"/>
    <n v="8.5889570552147243E-2"/>
    <s v="Slow"/>
    <n v="39.857243586005829"/>
    <n v="0.74644859813084108"/>
    <s v="Optimal"/>
    <n v="0"/>
  </r>
  <r>
    <x v="609"/>
    <s v="North"/>
    <x v="2"/>
    <s v="Supplier B"/>
    <x v="1"/>
    <x v="0"/>
    <n v="579"/>
    <n v="4682"/>
    <n v="13807.703460000001"/>
    <b v="1"/>
    <n v="24"/>
    <b v="0"/>
    <n v="93554.130149999997"/>
    <n v="4005"/>
    <n v="5526"/>
    <s v="Overstock"/>
    <n v="0.14456928838951311"/>
    <s v="Slow"/>
    <n v="23.847501658031089"/>
    <n v="0.72475570032573289"/>
    <s v="Optimal"/>
    <n v="0"/>
  </r>
  <r>
    <x v="610"/>
    <s v="North"/>
    <x v="3"/>
    <s v="Supplier D"/>
    <x v="2"/>
    <x v="0"/>
    <n v="197"/>
    <n v="3328"/>
    <n v="11027.889230000001"/>
    <b v="1"/>
    <n v="29"/>
    <b v="0"/>
    <n v="18921.09649"/>
    <n v="2958.5"/>
    <n v="7155"/>
    <s v="Overstock"/>
    <n v="6.6587797870542503E-2"/>
    <s v="Slow"/>
    <n v="55.979133147208124"/>
    <n v="0.41348707197763801"/>
    <s v="Optimal"/>
    <n v="0"/>
  </r>
  <r>
    <x v="611"/>
    <s v="West"/>
    <x v="2"/>
    <s v="Supplier C"/>
    <x v="1"/>
    <x v="2"/>
    <n v="213"/>
    <n v="2589"/>
    <n v="14050.833559999999"/>
    <b v="1"/>
    <n v="13"/>
    <b v="0"/>
    <n v="13990.601619999999"/>
    <n v="1416"/>
    <n v="6398"/>
    <s v="Overstock"/>
    <n v="0.15042372881355931"/>
    <s v="Medium"/>
    <n v="65.966354741784031"/>
    <n v="0.22131916223819945"/>
    <s v="Under Utilized"/>
    <n v="0"/>
  </r>
  <r>
    <x v="612"/>
    <s v="East"/>
    <x v="0"/>
    <s v="Supplier C"/>
    <x v="1"/>
    <x v="1"/>
    <n v="990"/>
    <n v="243"/>
    <n v="9024.5837109999993"/>
    <b v="1"/>
    <n v="24"/>
    <b v="0"/>
    <n v="162451.79519999999"/>
    <n v="1427"/>
    <n v="6658"/>
    <s v="Understock"/>
    <n v="0.69376313945339874"/>
    <s v="Slow"/>
    <n v="9.1157411222222215"/>
    <n v="0.21432862721537999"/>
    <s v="Under Utilized"/>
    <n v="0"/>
  </r>
  <r>
    <x v="613"/>
    <s v="South"/>
    <x v="0"/>
    <s v="Supplier B"/>
    <x v="1"/>
    <x v="0"/>
    <n v="978"/>
    <n v="2611"/>
    <n v="8535.7209399999992"/>
    <b v="1"/>
    <n v="8"/>
    <b v="0"/>
    <n v="93982.455119999999"/>
    <n v="1931.5"/>
    <n v="7375"/>
    <s v="Overstock"/>
    <n v="0.5063422210717059"/>
    <s v="Medium"/>
    <n v="8.7277310224948863"/>
    <n v="0.26189830508474576"/>
    <s v="Under Utilized"/>
    <n v="0"/>
  </r>
  <r>
    <x v="614"/>
    <s v="East"/>
    <x v="0"/>
    <s v="Supplier B"/>
    <x v="0"/>
    <x v="0"/>
    <n v="145"/>
    <n v="1252"/>
    <n v="1303.7783400000001"/>
    <b v="0"/>
    <n v="16"/>
    <b v="0"/>
    <n v="23523.342700000001"/>
    <n v="1282"/>
    <n v="6930"/>
    <s v="Understock"/>
    <n v="0.11310452418096724"/>
    <s v="Slow"/>
    <n v="8.9915747586206898"/>
    <n v="0.18499278499278499"/>
    <s v="Under Utilized"/>
    <n v="0"/>
  </r>
  <r>
    <x v="615"/>
    <s v="South"/>
    <x v="1"/>
    <s v="Supplier D"/>
    <x v="0"/>
    <x v="0"/>
    <n v="778"/>
    <n v="1312"/>
    <n v="5409.8628220000001"/>
    <b v="0"/>
    <n v="22"/>
    <b v="0"/>
    <n v="26810.374790000002"/>
    <n v="2957.5"/>
    <n v="6751"/>
    <s v="Understock"/>
    <n v="0.26306001690617076"/>
    <s v="Slow"/>
    <n v="6.9535511850899745"/>
    <n v="0.43808324692638129"/>
    <s v="Optimal"/>
    <n v="0"/>
  </r>
  <r>
    <x v="616"/>
    <s v="South"/>
    <x v="3"/>
    <s v="Supplier C"/>
    <x v="2"/>
    <x v="1"/>
    <n v="489"/>
    <n v="4603"/>
    <n v="12179.2611"/>
    <b v="0"/>
    <n v="17"/>
    <b v="0"/>
    <n v="58604.138209999997"/>
    <n v="3526"/>
    <n v="9848"/>
    <s v="Overstock"/>
    <n v="0.13868406125921726"/>
    <s v="Slow"/>
    <n v="24.906464417177915"/>
    <n v="0.35804224207961005"/>
    <s v="Under Utilized"/>
    <n v="0"/>
  </r>
  <r>
    <x v="617"/>
    <s v="West"/>
    <x v="0"/>
    <s v="Supplier A"/>
    <x v="1"/>
    <x v="1"/>
    <n v="405"/>
    <n v="2449"/>
    <n v="5444.0151699999997"/>
    <b v="1"/>
    <n v="26"/>
    <b v="0"/>
    <n v="39236.068429999999"/>
    <n v="1809"/>
    <n v="5050"/>
    <s v="Overstock"/>
    <n v="0.22388059701492538"/>
    <s v="Slow"/>
    <n v="13.442012765432098"/>
    <n v="0.3582178217821782"/>
    <s v="Under Utilized"/>
    <n v="0"/>
  </r>
  <r>
    <x v="618"/>
    <s v="North"/>
    <x v="0"/>
    <s v="Supplier D"/>
    <x v="2"/>
    <x v="0"/>
    <n v="897"/>
    <n v="1169"/>
    <n v="12054.492770000001"/>
    <b v="1"/>
    <n v="18"/>
    <b v="0"/>
    <n v="169762.74340000001"/>
    <n v="2485"/>
    <n v="9804"/>
    <s v="Understock"/>
    <n v="0.36096579476861168"/>
    <s v="Slow"/>
    <n v="13.438676443701228"/>
    <n v="0.25346797225622197"/>
    <s v="Under Utilized"/>
    <n v="0"/>
  </r>
  <r>
    <x v="619"/>
    <s v="South"/>
    <x v="3"/>
    <s v="Supplier A"/>
    <x v="1"/>
    <x v="2"/>
    <n v="688"/>
    <n v="3801"/>
    <n v="8973.7408630000009"/>
    <b v="1"/>
    <n v="5"/>
    <b v="1"/>
    <n v="61979.334410000003"/>
    <n v="3842"/>
    <n v="5951"/>
    <s v="Understock"/>
    <n v="0.17907339927121291"/>
    <s v="Fast"/>
    <n v="13.043227998546513"/>
    <n v="0.64560578054108553"/>
    <s v="Optimal"/>
    <n v="1"/>
  </r>
  <r>
    <x v="620"/>
    <s v="South"/>
    <x v="0"/>
    <s v="Supplier A"/>
    <x v="2"/>
    <x v="2"/>
    <n v="255"/>
    <n v="3883"/>
    <n v="8174.3779979999999"/>
    <b v="0"/>
    <n v="18"/>
    <b v="0"/>
    <n v="13949.648279999999"/>
    <n v="3704.5"/>
    <n v="5941"/>
    <s v="Overstock"/>
    <n v="6.8835200431907134E-2"/>
    <s v="Slow"/>
    <n v="32.056384305882354"/>
    <n v="0.62354822420467937"/>
    <s v="Optimal"/>
    <n v="0"/>
  </r>
  <r>
    <x v="621"/>
    <s v="South"/>
    <x v="0"/>
    <s v="Supplier A"/>
    <x v="2"/>
    <x v="0"/>
    <n v="71"/>
    <n v="3526"/>
    <n v="5701.5417829999997"/>
    <b v="1"/>
    <n v="17"/>
    <b v="0"/>
    <n v="13084.31891"/>
    <n v="2145.5"/>
    <n v="9600"/>
    <s v="Overstock"/>
    <n v="3.309251922628758E-2"/>
    <s v="Slow"/>
    <n v="80.303405394366195"/>
    <n v="0.22348958333333332"/>
    <s v="Under Utilized"/>
    <n v="0"/>
  </r>
  <r>
    <x v="622"/>
    <s v="South"/>
    <x v="1"/>
    <s v="Supplier A"/>
    <x v="1"/>
    <x v="0"/>
    <n v="469"/>
    <n v="765"/>
    <n v="5741.5636720000002"/>
    <b v="1"/>
    <n v="6"/>
    <b v="0"/>
    <n v="34498.89759"/>
    <n v="2763.5"/>
    <n v="9754"/>
    <s v="Understock"/>
    <n v="0.16971232133164466"/>
    <s v="Fast"/>
    <n v="12.242140025586355"/>
    <n v="0.28331966372770145"/>
    <s v="Under Utilized"/>
    <n v="0"/>
  </r>
  <r>
    <x v="623"/>
    <s v="North"/>
    <x v="3"/>
    <s v="Supplier D"/>
    <x v="0"/>
    <x v="0"/>
    <n v="734"/>
    <n v="4762"/>
    <n v="7380.8930769999997"/>
    <b v="1"/>
    <n v="28"/>
    <b v="0"/>
    <n v="69825.187309999994"/>
    <n v="2752"/>
    <n v="7179"/>
    <s v="Overstock"/>
    <n v="0.26671511627906974"/>
    <s v="Slow"/>
    <n v="10.055712638964577"/>
    <n v="0.38334029809165621"/>
    <s v="Under Utilized"/>
    <n v="0"/>
  </r>
  <r>
    <x v="624"/>
    <s v="South"/>
    <x v="0"/>
    <s v="Supplier C"/>
    <x v="1"/>
    <x v="0"/>
    <n v="85"/>
    <n v="742"/>
    <n v="3279.2341230000002"/>
    <b v="1"/>
    <n v="10"/>
    <b v="0"/>
    <n v="11573.38963"/>
    <n v="1860"/>
    <n v="5706"/>
    <s v="Understock"/>
    <n v="4.5698924731182797E-2"/>
    <s v="Medium"/>
    <n v="38.579224976470591"/>
    <n v="0.32597266035751843"/>
    <s v="Under Utilized"/>
    <n v="0"/>
  </r>
  <r>
    <x v="625"/>
    <s v="East"/>
    <x v="1"/>
    <s v="Supplier A"/>
    <x v="1"/>
    <x v="0"/>
    <n v="503"/>
    <n v="2978"/>
    <n v="1644.482898"/>
    <b v="1"/>
    <n v="28"/>
    <b v="0"/>
    <n v="10453.311900000001"/>
    <n v="3422.5"/>
    <n v="9639"/>
    <s v="Understock"/>
    <n v="0.14696859021183345"/>
    <s v="Slow"/>
    <n v="3.2693496978131211"/>
    <n v="0.35506795310716882"/>
    <s v="Under Utilized"/>
    <n v="0"/>
  </r>
  <r>
    <x v="626"/>
    <s v="South"/>
    <x v="0"/>
    <s v="Supplier C"/>
    <x v="1"/>
    <x v="0"/>
    <n v="199"/>
    <n v="3867"/>
    <n v="8929.1547859999991"/>
    <b v="1"/>
    <n v="26"/>
    <b v="0"/>
    <n v="5647.1172900000001"/>
    <n v="4119.5"/>
    <n v="5082"/>
    <s v="Understock"/>
    <n v="4.8306833353562326E-2"/>
    <s v="Slow"/>
    <n v="44.870124552763812"/>
    <n v="0.81060606060606055"/>
    <s v="Optimal"/>
    <n v="0"/>
  </r>
  <r>
    <x v="627"/>
    <s v="North"/>
    <x v="2"/>
    <s v="Supplier C"/>
    <x v="1"/>
    <x v="0"/>
    <n v="381"/>
    <n v="4372"/>
    <n v="12871.049279999999"/>
    <b v="1"/>
    <n v="29"/>
    <b v="0"/>
    <n v="7865.3480090000003"/>
    <n v="4420"/>
    <n v="8978"/>
    <s v="Understock"/>
    <n v="8.6199095022624433E-2"/>
    <s v="Slow"/>
    <n v="33.78228157480315"/>
    <n v="0.49231454666963687"/>
    <s v="Optimal"/>
    <n v="0"/>
  </r>
  <r>
    <x v="628"/>
    <s v="East"/>
    <x v="1"/>
    <s v="Supplier B"/>
    <x v="2"/>
    <x v="0"/>
    <n v="363"/>
    <n v="4468"/>
    <n v="7072.378181"/>
    <b v="1"/>
    <n v="29"/>
    <b v="0"/>
    <n v="53877.603710000003"/>
    <n v="2677"/>
    <n v="9221"/>
    <s v="Overstock"/>
    <n v="0.13559955173701904"/>
    <s v="Slow"/>
    <n v="19.483135484848486"/>
    <n v="0.29031558399305935"/>
    <s v="Under Utilized"/>
    <n v="0"/>
  </r>
  <r>
    <x v="629"/>
    <s v="South"/>
    <x v="1"/>
    <s v="Supplier D"/>
    <x v="2"/>
    <x v="0"/>
    <n v="177"/>
    <n v="886"/>
    <n v="2196.2541729999998"/>
    <b v="1"/>
    <n v="17"/>
    <b v="0"/>
    <n v="6013.3518640000002"/>
    <n v="1921.5"/>
    <n v="8187"/>
    <s v="Understock"/>
    <n v="9.2115534738485563E-2"/>
    <s v="Slow"/>
    <n v="12.408215666666665"/>
    <n v="0.23470135580798829"/>
    <s v="Under Utilized"/>
    <n v="0"/>
  </r>
  <r>
    <x v="630"/>
    <s v="East"/>
    <x v="2"/>
    <s v="Supplier A"/>
    <x v="2"/>
    <x v="2"/>
    <n v="723"/>
    <n v="2957"/>
    <n v="7043.6350689999999"/>
    <b v="1"/>
    <n v="7"/>
    <b v="0"/>
    <n v="62349.577949999999"/>
    <n v="3129.5"/>
    <n v="7209"/>
    <s v="Understock"/>
    <n v="0.23102732065825213"/>
    <s v="Fast"/>
    <n v="9.7422338437067779"/>
    <n v="0.43411014010264948"/>
    <s v="Optimal"/>
    <n v="0"/>
  </r>
  <r>
    <x v="631"/>
    <s v="East"/>
    <x v="1"/>
    <s v="Supplier C"/>
    <x v="2"/>
    <x v="2"/>
    <n v="959"/>
    <n v="3302"/>
    <n v="4692.4824170000002"/>
    <b v="1"/>
    <n v="24"/>
    <b v="0"/>
    <n v="67386.772299999997"/>
    <n v="2559"/>
    <n v="9596"/>
    <s v="Overstock"/>
    <n v="0.37475576397030091"/>
    <s v="Slow"/>
    <n v="4.8930994963503656"/>
    <n v="0.26667361400583578"/>
    <s v="Under Utilized"/>
    <n v="0"/>
  </r>
  <r>
    <x v="632"/>
    <s v="West"/>
    <x v="2"/>
    <s v="Supplier A"/>
    <x v="2"/>
    <x v="0"/>
    <n v="777"/>
    <n v="1816"/>
    <n v="1145.3810699999999"/>
    <b v="1"/>
    <n v="1"/>
    <b v="0"/>
    <n v="128278.6517"/>
    <n v="3051.5"/>
    <n v="8647"/>
    <s v="Understock"/>
    <n v="0.25462887104702603"/>
    <s v="Fast"/>
    <n v="1.4741069111969112"/>
    <n v="0.35289695848271074"/>
    <s v="Under Utilized"/>
    <n v="0"/>
  </r>
  <r>
    <x v="633"/>
    <s v="South"/>
    <x v="3"/>
    <s v="Supplier A"/>
    <x v="1"/>
    <x v="0"/>
    <n v="707"/>
    <n v="4287"/>
    <n v="6559.317951"/>
    <b v="0"/>
    <n v="12"/>
    <b v="0"/>
    <n v="108119.4703"/>
    <n v="2270"/>
    <n v="6768"/>
    <s v="Overstock"/>
    <n v="0.31145374449339208"/>
    <s v="Medium"/>
    <n v="9.2776774413012735"/>
    <n v="0.33540189125295511"/>
    <s v="Under Utilized"/>
    <n v="0"/>
  </r>
  <r>
    <x v="634"/>
    <s v="South"/>
    <x v="0"/>
    <s v="Supplier C"/>
    <x v="0"/>
    <x v="0"/>
    <n v="918"/>
    <n v="253"/>
    <n v="6084.038783"/>
    <b v="1"/>
    <n v="24"/>
    <b v="0"/>
    <n v="59833.006869999997"/>
    <n v="765"/>
    <n v="8977"/>
    <s v="Understock"/>
    <n v="1.2"/>
    <s v="Slow"/>
    <n v="6.627493227668845"/>
    <n v="8.5217778767962576E-2"/>
    <s v="Under Utilized"/>
    <n v="0"/>
  </r>
  <r>
    <x v="635"/>
    <s v="West"/>
    <x v="2"/>
    <s v="Supplier B"/>
    <x v="2"/>
    <x v="0"/>
    <n v="895"/>
    <n v="1277"/>
    <n v="12132.6131"/>
    <b v="1"/>
    <n v="10"/>
    <b v="0"/>
    <n v="42767.681129999997"/>
    <n v="3100.5"/>
    <n v="6139"/>
    <s v="Understock"/>
    <n v="0.28866311885179807"/>
    <s v="Medium"/>
    <n v="13.555992290502793"/>
    <n v="0.5050496823586903"/>
    <s v="Optimal"/>
    <n v="0"/>
  </r>
  <r>
    <x v="636"/>
    <s v="East"/>
    <x v="1"/>
    <s v="Supplier B"/>
    <x v="1"/>
    <x v="0"/>
    <n v="671"/>
    <n v="4924"/>
    <n v="11565.67584"/>
    <b v="1"/>
    <n v="21"/>
    <b v="0"/>
    <n v="79146.320590000003"/>
    <n v="3964.5"/>
    <n v="8566"/>
    <s v="Overstock"/>
    <n v="0.16925211249842351"/>
    <s v="Slow"/>
    <n v="17.236476661698955"/>
    <n v="0.4628181181414896"/>
    <s v="Optimal"/>
    <n v="0"/>
  </r>
  <r>
    <x v="637"/>
    <s v="East"/>
    <x v="1"/>
    <s v="Supplier D"/>
    <x v="2"/>
    <x v="0"/>
    <n v="955"/>
    <n v="3005"/>
    <n v="5140.8225400000001"/>
    <b v="1"/>
    <n v="29"/>
    <b v="0"/>
    <n v="153613.81419999999"/>
    <n v="3865.5"/>
    <n v="7607"/>
    <s v="Understock"/>
    <n v="0.2470573017720864"/>
    <s v="Slow"/>
    <n v="5.3830602513089003"/>
    <n v="0.50815038780070987"/>
    <s v="Optimal"/>
    <n v="0"/>
  </r>
  <r>
    <x v="638"/>
    <s v="East"/>
    <x v="1"/>
    <s v="Supplier A"/>
    <x v="0"/>
    <x v="0"/>
    <n v="966"/>
    <n v="4726"/>
    <n v="4475.3785459999999"/>
    <b v="1"/>
    <n v="19"/>
    <b v="0"/>
    <n v="162059.7672"/>
    <n v="3560"/>
    <n v="8877"/>
    <s v="Overstock"/>
    <n v="0.27134831460674158"/>
    <s v="Slow"/>
    <n v="4.6328970455486544"/>
    <n v="0.40103638616649767"/>
    <s v="Optimal"/>
    <n v="0"/>
  </r>
  <r>
    <x v="639"/>
    <s v="West"/>
    <x v="0"/>
    <s v="Supplier C"/>
    <x v="2"/>
    <x v="0"/>
    <n v="329"/>
    <n v="2394"/>
    <n v="1901.28847"/>
    <b v="1"/>
    <n v="11"/>
    <b v="0"/>
    <n v="27545.042959999999"/>
    <n v="1745"/>
    <n v="6849"/>
    <s v="Overstock"/>
    <n v="0.18853868194842408"/>
    <s v="Medium"/>
    <n v="5.7789923100303948"/>
    <n v="0.25478171995911814"/>
    <s v="Under Utilized"/>
    <n v="0"/>
  </r>
  <r>
    <x v="640"/>
    <s v="South"/>
    <x v="1"/>
    <s v="Supplier A"/>
    <x v="0"/>
    <x v="2"/>
    <n v="920"/>
    <n v="1096"/>
    <n v="10602.944820000001"/>
    <b v="1"/>
    <n v="25"/>
    <b v="0"/>
    <n v="113958.1323"/>
    <n v="675"/>
    <n v="8236"/>
    <s v="Overstock"/>
    <n v="1.3629629629629629"/>
    <s v="Slow"/>
    <n v="11.52494002173913"/>
    <n v="8.1957260806216611E-2"/>
    <s v="Under Utilized"/>
    <n v="0"/>
  </r>
  <r>
    <x v="641"/>
    <s v="West"/>
    <x v="1"/>
    <s v="Supplier C"/>
    <x v="2"/>
    <x v="0"/>
    <n v="174"/>
    <n v="254"/>
    <n v="13591.58634"/>
    <b v="1"/>
    <n v="23"/>
    <b v="0"/>
    <n v="31139.29982"/>
    <n v="1815"/>
    <n v="6561"/>
    <s v="Understock"/>
    <n v="9.5867768595041328E-2"/>
    <s v="Slow"/>
    <n v="78.112565172413795"/>
    <n v="0.27663465935070874"/>
    <s v="Under Utilized"/>
    <n v="0"/>
  </r>
  <r>
    <x v="642"/>
    <s v="South"/>
    <x v="2"/>
    <s v="Supplier C"/>
    <x v="0"/>
    <x v="1"/>
    <n v="389"/>
    <n v="3376"/>
    <n v="14432.02655"/>
    <b v="1"/>
    <n v="15"/>
    <b v="1"/>
    <n v="53822.932769999999"/>
    <n v="4065"/>
    <n v="7785"/>
    <s v="Understock"/>
    <n v="9.569495694956949E-2"/>
    <s v="Slow"/>
    <n v="37.100325321336761"/>
    <n v="0.52215799614643543"/>
    <s v="Optimal"/>
    <n v="1"/>
  </r>
  <r>
    <x v="643"/>
    <s v="West"/>
    <x v="2"/>
    <s v="Supplier A"/>
    <x v="1"/>
    <x v="0"/>
    <n v="205"/>
    <n v="4754"/>
    <n v="9434.6529960000007"/>
    <b v="1"/>
    <n v="25"/>
    <b v="0"/>
    <n v="6289.5807169999998"/>
    <n v="2794"/>
    <n v="6566"/>
    <s v="Overstock"/>
    <n v="7.33715103793844E-2"/>
    <s v="Slow"/>
    <n v="46.022697541463415"/>
    <n v="0.42552543405421872"/>
    <s v="Optimal"/>
    <n v="0"/>
  </r>
  <r>
    <x v="644"/>
    <s v="West"/>
    <x v="0"/>
    <s v="Supplier A"/>
    <x v="1"/>
    <x v="0"/>
    <n v="662"/>
    <n v="834"/>
    <n v="730.84387530000004"/>
    <b v="1"/>
    <n v="24"/>
    <b v="1"/>
    <n v="92812.334300000002"/>
    <n v="545"/>
    <n v="9189"/>
    <s v="Overstock"/>
    <n v="1.2146788990825688"/>
    <s v="Slow"/>
    <n v="1.1039937693353474"/>
    <n v="5.9310044618565677E-2"/>
    <s v="Under Utilized"/>
    <n v="1"/>
  </r>
  <r>
    <x v="645"/>
    <s v="North"/>
    <x v="2"/>
    <s v="Supplier B"/>
    <x v="0"/>
    <x v="0"/>
    <n v="573"/>
    <n v="256"/>
    <n v="1977.430433"/>
    <b v="1"/>
    <n v="21"/>
    <b v="0"/>
    <n v="110012.0962"/>
    <n v="1930"/>
    <n v="8241"/>
    <s v="Understock"/>
    <n v="0.29689119170984457"/>
    <s v="Slow"/>
    <n v="3.4510129720767888"/>
    <n v="0.23419487926222546"/>
    <s v="Under Utilized"/>
    <n v="0"/>
  </r>
  <r>
    <x v="646"/>
    <s v="West"/>
    <x v="1"/>
    <s v="Supplier B"/>
    <x v="0"/>
    <x v="0"/>
    <n v="576"/>
    <n v="3604"/>
    <n v="6988.7919009999996"/>
    <b v="1"/>
    <n v="11"/>
    <b v="0"/>
    <n v="28526.70624"/>
    <n v="3394.5"/>
    <n v="9962"/>
    <s v="Overstock"/>
    <n v="0.16968625718073355"/>
    <s v="Medium"/>
    <n v="12.133319272569445"/>
    <n v="0.34074483035535036"/>
    <s v="Under Utilized"/>
    <n v="0"/>
  </r>
  <r>
    <x v="647"/>
    <s v="North"/>
    <x v="3"/>
    <s v="Supplier B"/>
    <x v="0"/>
    <x v="0"/>
    <n v="334"/>
    <n v="3185"/>
    <n v="1646.602304"/>
    <b v="1"/>
    <n v="19"/>
    <b v="0"/>
    <n v="49558.726589999998"/>
    <n v="2702.5"/>
    <n v="8323"/>
    <s v="Overstock"/>
    <n v="0.12358926919518964"/>
    <s v="Slow"/>
    <n v="4.9299470179640723"/>
    <n v="0.32470263126276583"/>
    <s v="Under Utilized"/>
    <n v="0"/>
  </r>
  <r>
    <x v="648"/>
    <s v="West"/>
    <x v="0"/>
    <s v="Supplier C"/>
    <x v="2"/>
    <x v="0"/>
    <n v="243"/>
    <n v="2220"/>
    <n v="11586.239820000001"/>
    <b v="1"/>
    <n v="1"/>
    <b v="0"/>
    <n v="48225.22219"/>
    <n v="1936"/>
    <n v="9833"/>
    <s v="Overstock"/>
    <n v="0.12551652892561985"/>
    <s v="Fast"/>
    <n v="47.679999259259262"/>
    <n v="0.19688803010271536"/>
    <s v="Under Utilized"/>
    <n v="0"/>
  </r>
  <r>
    <x v="649"/>
    <s v="North"/>
    <x v="0"/>
    <s v="Supplier B"/>
    <x v="0"/>
    <x v="0"/>
    <n v="127"/>
    <n v="1652"/>
    <n v="13804.400970000001"/>
    <b v="0"/>
    <n v="8"/>
    <b v="0"/>
    <n v="17792.495849999999"/>
    <n v="1154"/>
    <n v="6349"/>
    <s v="Overstock"/>
    <n v="0.11005199306759099"/>
    <s v="Medium"/>
    <n v="108.69607062992127"/>
    <n v="0.18176090722948496"/>
    <s v="Under Utilized"/>
    <n v="0"/>
  </r>
  <r>
    <x v="650"/>
    <s v="East"/>
    <x v="1"/>
    <s v="Supplier D"/>
    <x v="2"/>
    <x v="2"/>
    <n v="618"/>
    <n v="656"/>
    <n v="14464.8649"/>
    <b v="1"/>
    <n v="1"/>
    <b v="0"/>
    <n v="95659.567049999998"/>
    <n v="1452"/>
    <n v="8404"/>
    <s v="Understock"/>
    <n v="0.42561983471074383"/>
    <s v="Fast"/>
    <n v="23.405930258899676"/>
    <n v="0.17277486910994763"/>
    <s v="Under Utilized"/>
    <n v="0"/>
  </r>
  <r>
    <x v="651"/>
    <s v="South"/>
    <x v="1"/>
    <s v="Supplier B"/>
    <x v="2"/>
    <x v="0"/>
    <n v="720"/>
    <n v="2248"/>
    <n v="509.09899109999998"/>
    <b v="1"/>
    <n v="6"/>
    <b v="0"/>
    <n v="73480.298420000006"/>
    <n v="3071.5"/>
    <n v="9802"/>
    <s v="Understock"/>
    <n v="0.23441315318248412"/>
    <s v="Fast"/>
    <n v="0.70708193208333325"/>
    <n v="0.31335441746582332"/>
    <s v="Under Utilized"/>
    <n v="0"/>
  </r>
  <r>
    <x v="652"/>
    <s v="West"/>
    <x v="2"/>
    <s v="Supplier B"/>
    <x v="1"/>
    <x v="1"/>
    <n v="435"/>
    <n v="3895"/>
    <n v="4804.9872770000002"/>
    <b v="0"/>
    <n v="25"/>
    <b v="0"/>
    <n v="86766.8073"/>
    <n v="2245"/>
    <n v="8226"/>
    <s v="Overstock"/>
    <n v="0.19376391982182628"/>
    <s v="Slow"/>
    <n v="11.045947763218392"/>
    <n v="0.27291514709457815"/>
    <s v="Under Utilized"/>
    <n v="0"/>
  </r>
  <r>
    <x v="653"/>
    <s v="North"/>
    <x v="0"/>
    <s v="Supplier A"/>
    <x v="2"/>
    <x v="0"/>
    <n v="972"/>
    <n v="595"/>
    <n v="4279.7897869999997"/>
    <b v="1"/>
    <n v="28"/>
    <b v="0"/>
    <n v="121790.15640000001"/>
    <n v="1508"/>
    <n v="5524"/>
    <s v="Understock"/>
    <n v="0.64456233421750664"/>
    <s v="Slow"/>
    <n v="4.40307591255144"/>
    <n v="0.27299058653149894"/>
    <s v="Under Utilized"/>
    <n v="0"/>
  </r>
  <r>
    <x v="654"/>
    <s v="West"/>
    <x v="3"/>
    <s v="Supplier B"/>
    <x v="0"/>
    <x v="0"/>
    <n v="457"/>
    <n v="2421"/>
    <n v="12317.722089999999"/>
    <b v="1"/>
    <n v="23"/>
    <b v="0"/>
    <n v="74981.797550000003"/>
    <n v="1716.5"/>
    <n v="9116"/>
    <s v="Overstock"/>
    <n v="0.26623944072240024"/>
    <s v="Slow"/>
    <n v="26.953440021881836"/>
    <n v="0.18829530495831506"/>
    <s v="Under Utilized"/>
    <n v="0"/>
  </r>
  <r>
    <x v="655"/>
    <s v="North"/>
    <x v="3"/>
    <s v="Supplier D"/>
    <x v="1"/>
    <x v="0"/>
    <n v="725"/>
    <n v="1012"/>
    <n v="10204.35404"/>
    <b v="1"/>
    <n v="23"/>
    <b v="1"/>
    <n v="93286.336639999994"/>
    <n v="848.5"/>
    <n v="6194"/>
    <s v="Overstock"/>
    <n v="0.854449027695934"/>
    <s v="Slow"/>
    <n v="14.074971089655172"/>
    <n v="0.13698740716822733"/>
    <s v="Under Utilized"/>
    <n v="1"/>
  </r>
  <r>
    <x v="656"/>
    <s v="South"/>
    <x v="1"/>
    <s v="Supplier C"/>
    <x v="2"/>
    <x v="2"/>
    <n v="685"/>
    <n v="685"/>
    <n v="8052.7915869999997"/>
    <b v="1"/>
    <n v="19"/>
    <b v="0"/>
    <n v="19688.268319999999"/>
    <n v="468"/>
    <n v="9268"/>
    <s v="Overstock"/>
    <n v="1.4636752136752136"/>
    <s v="Slow"/>
    <n v="11.755900127007299"/>
    <n v="5.0496331463098836E-2"/>
    <s v="Under Utilized"/>
    <n v="0"/>
  </r>
  <r>
    <x v="657"/>
    <s v="East"/>
    <x v="3"/>
    <s v="Supplier A"/>
    <x v="2"/>
    <x v="0"/>
    <n v="484"/>
    <n v="251"/>
    <n v="13063.540419999999"/>
    <b v="1"/>
    <n v="8"/>
    <b v="0"/>
    <n v="60581.445760000002"/>
    <n v="637.5"/>
    <n v="5560"/>
    <s v="Understock"/>
    <n v="0.75921568627450975"/>
    <s v="Medium"/>
    <n v="26.990785991735535"/>
    <n v="0.11465827338129496"/>
    <s v="Under Utilized"/>
    <n v="0"/>
  </r>
  <r>
    <x v="658"/>
    <s v="South"/>
    <x v="3"/>
    <s v="Supplier C"/>
    <x v="2"/>
    <x v="0"/>
    <n v="370"/>
    <n v="1024"/>
    <n v="11157.87916"/>
    <b v="1"/>
    <n v="26"/>
    <b v="0"/>
    <n v="10145.121859999999"/>
    <n v="2957"/>
    <n v="6933"/>
    <s v="Understock"/>
    <n v="0.12512681772066284"/>
    <s v="Slow"/>
    <n v="30.156430162162163"/>
    <n v="0.42651088994663205"/>
    <s v="Optimal"/>
    <n v="0"/>
  </r>
  <r>
    <x v="659"/>
    <s v="East"/>
    <x v="0"/>
    <s v="Supplier A"/>
    <x v="2"/>
    <x v="0"/>
    <n v="627"/>
    <n v="4890"/>
    <n v="3494.7488579999999"/>
    <b v="1"/>
    <n v="18"/>
    <b v="0"/>
    <n v="68605.474969999996"/>
    <n v="3849"/>
    <n v="7655"/>
    <s v="Overstock"/>
    <n v="0.16289945440374123"/>
    <s v="Slow"/>
    <n v="5.5737621339712922"/>
    <n v="0.50280862181580666"/>
    <s v="Optimal"/>
    <n v="0"/>
  </r>
  <r>
    <x v="660"/>
    <s v="South"/>
    <x v="1"/>
    <s v="Supplier A"/>
    <x v="0"/>
    <x v="2"/>
    <n v="109"/>
    <n v="2808"/>
    <n v="14049.093140000001"/>
    <b v="1"/>
    <n v="28"/>
    <b v="0"/>
    <n v="16287.43411"/>
    <n v="2136"/>
    <n v="9665"/>
    <s v="Overstock"/>
    <n v="5.1029962546816479E-2"/>
    <s v="Slow"/>
    <n v="128.8907627522936"/>
    <n v="0.22100362131401965"/>
    <s v="Under Utilized"/>
    <n v="0"/>
  </r>
  <r>
    <x v="661"/>
    <s v="North"/>
    <x v="1"/>
    <s v="Supplier A"/>
    <x v="0"/>
    <x v="0"/>
    <n v="88"/>
    <n v="1464"/>
    <n v="9523.3931969999994"/>
    <b v="1"/>
    <n v="4"/>
    <b v="0"/>
    <n v="14100.84806"/>
    <n v="1651"/>
    <n v="5092"/>
    <s v="Understock"/>
    <n v="5.3301029678982433E-2"/>
    <s v="Fast"/>
    <n v="108.22037723863636"/>
    <n v="0.3242340926944226"/>
    <s v="Under Utilized"/>
    <n v="0"/>
  </r>
  <r>
    <x v="662"/>
    <s v="East"/>
    <x v="1"/>
    <s v="Supplier A"/>
    <x v="1"/>
    <x v="2"/>
    <n v="837"/>
    <n v="1838"/>
    <n v="2232.0088169999999"/>
    <b v="0"/>
    <n v="1"/>
    <b v="0"/>
    <n v="108880.1223"/>
    <n v="2469.5"/>
    <n v="5071"/>
    <s v="Understock"/>
    <n v="0.33893500708645474"/>
    <s v="Fast"/>
    <n v="2.6666772007168458"/>
    <n v="0.48698481561822127"/>
    <s v="Optimal"/>
    <n v="0"/>
  </r>
  <r>
    <x v="663"/>
    <s v="West"/>
    <x v="2"/>
    <s v="Supplier D"/>
    <x v="2"/>
    <x v="0"/>
    <n v="737"/>
    <n v="3101"/>
    <n v="954.46869849999996"/>
    <b v="0"/>
    <n v="27"/>
    <b v="0"/>
    <n v="122611.60219999999"/>
    <n v="3732"/>
    <n v="6220"/>
    <s v="Understock"/>
    <n v="0.197481243301179"/>
    <s v="Slow"/>
    <n v="1.2950728609226594"/>
    <n v="0.6"/>
    <s v="Optimal"/>
    <n v="0"/>
  </r>
  <r>
    <x v="664"/>
    <s v="South"/>
    <x v="0"/>
    <s v="Supplier A"/>
    <x v="2"/>
    <x v="0"/>
    <n v="787"/>
    <n v="4363"/>
    <n v="4360.3567720000001"/>
    <b v="1"/>
    <n v="29"/>
    <b v="0"/>
    <n v="66783.092369999998"/>
    <n v="2790"/>
    <n v="8658"/>
    <s v="Overstock"/>
    <n v="0.28207885304659497"/>
    <s v="Slow"/>
    <n v="5.5404787445997457"/>
    <n v="0.32224532224532226"/>
    <s v="Under Utilized"/>
    <n v="0"/>
  </r>
  <r>
    <x v="665"/>
    <s v="East"/>
    <x v="2"/>
    <s v="Supplier A"/>
    <x v="2"/>
    <x v="0"/>
    <n v="554"/>
    <n v="1217"/>
    <n v="8981.4979629999998"/>
    <b v="1"/>
    <n v="3"/>
    <b v="0"/>
    <n v="16464.809420000001"/>
    <n v="1866"/>
    <n v="8977"/>
    <s v="Understock"/>
    <n v="0.29689174705251875"/>
    <s v="Fast"/>
    <n v="16.212090185920577"/>
    <n v="0.20786454272028518"/>
    <s v="Under Utilized"/>
    <n v="0"/>
  </r>
  <r>
    <x v="666"/>
    <s v="North"/>
    <x v="0"/>
    <s v="Supplier A"/>
    <x v="1"/>
    <x v="0"/>
    <n v="913"/>
    <n v="2515"/>
    <n v="11556.743549999999"/>
    <b v="1"/>
    <n v="19"/>
    <b v="0"/>
    <n v="169670.2164"/>
    <n v="3413.5"/>
    <n v="9605"/>
    <s v="Understock"/>
    <n v="0.2674674088179288"/>
    <s v="Slow"/>
    <n v="12.657988554216866"/>
    <n v="0.35538781884435189"/>
    <s v="Under Utilized"/>
    <n v="0"/>
  </r>
  <r>
    <x v="667"/>
    <s v="North"/>
    <x v="1"/>
    <s v="Supplier A"/>
    <x v="1"/>
    <x v="1"/>
    <n v="571"/>
    <n v="4312"/>
    <n v="9824.3844059999992"/>
    <b v="1"/>
    <n v="23"/>
    <b v="0"/>
    <n v="109510.083"/>
    <n v="3647.5"/>
    <n v="8006"/>
    <s v="Overstock"/>
    <n v="0.15654557916381082"/>
    <s v="Slow"/>
    <n v="17.205576893169876"/>
    <n v="0.45559580314763926"/>
    <s v="Optimal"/>
    <n v="0"/>
  </r>
  <r>
    <x v="668"/>
    <s v="West"/>
    <x v="1"/>
    <s v="Supplier C"/>
    <x v="0"/>
    <x v="0"/>
    <n v="250"/>
    <n v="2983"/>
    <n v="1714.969102"/>
    <b v="1"/>
    <n v="22"/>
    <b v="0"/>
    <n v="8979.6914300000008"/>
    <n v="3401.5"/>
    <n v="7543"/>
    <s v="Understock"/>
    <n v="7.3496986623548435E-2"/>
    <s v="Slow"/>
    <n v="6.8598764079999999"/>
    <n v="0.45094789871403951"/>
    <s v="Optimal"/>
    <n v="0"/>
  </r>
  <r>
    <x v="669"/>
    <s v="North"/>
    <x v="3"/>
    <s v="Supplier B"/>
    <x v="0"/>
    <x v="0"/>
    <n v="907"/>
    <n v="3820"/>
    <n v="9312.7873600000003"/>
    <b v="0"/>
    <n v="7"/>
    <b v="0"/>
    <n v="169352.74660000001"/>
    <n v="2630.5"/>
    <n v="5926"/>
    <s v="Overstock"/>
    <n v="0.34480136856111004"/>
    <s v="Fast"/>
    <n v="10.267681764057333"/>
    <n v="0.44389132635842055"/>
    <s v="Optimal"/>
    <n v="0"/>
  </r>
  <r>
    <x v="670"/>
    <s v="South"/>
    <x v="3"/>
    <s v="Supplier D"/>
    <x v="2"/>
    <x v="0"/>
    <n v="637"/>
    <n v="1441"/>
    <n v="3589.012138"/>
    <b v="1"/>
    <n v="15"/>
    <b v="0"/>
    <n v="94545.020950000006"/>
    <n v="1792"/>
    <n v="6908"/>
    <s v="Understock"/>
    <n v="0.35546875"/>
    <s v="Slow"/>
    <n v="5.6342419748822605"/>
    <n v="0.25940938042848871"/>
    <s v="Under Utilized"/>
    <n v="0"/>
  </r>
  <r>
    <x v="671"/>
    <s v="South"/>
    <x v="3"/>
    <s v="Supplier B"/>
    <x v="2"/>
    <x v="2"/>
    <n v="122"/>
    <n v="2143"/>
    <n v="12969.140359999999"/>
    <b v="1"/>
    <n v="17"/>
    <b v="0"/>
    <n v="13737.97294"/>
    <n v="1565.5"/>
    <n v="7267"/>
    <s v="Overstock"/>
    <n v="7.7930373682529544E-2"/>
    <s v="Slow"/>
    <n v="106.30442918032786"/>
    <n v="0.21542589789459199"/>
    <s v="Under Utilized"/>
    <n v="0"/>
  </r>
  <r>
    <x v="672"/>
    <s v="South"/>
    <x v="2"/>
    <s v="Supplier B"/>
    <x v="2"/>
    <x v="2"/>
    <n v="473"/>
    <n v="988"/>
    <n v="8279.6213220000009"/>
    <b v="1"/>
    <n v="9"/>
    <b v="0"/>
    <n v="35363.530959999996"/>
    <n v="2144.5"/>
    <n v="6883"/>
    <s v="Understock"/>
    <n v="0.2205642340871998"/>
    <s v="Medium"/>
    <n v="17.504484824524315"/>
    <n v="0.31156472468400409"/>
    <s v="Under Utilized"/>
    <n v="0"/>
  </r>
  <r>
    <x v="673"/>
    <s v="East"/>
    <x v="0"/>
    <s v="Supplier D"/>
    <x v="1"/>
    <x v="0"/>
    <n v="61"/>
    <n v="3301"/>
    <n v="12378.89608"/>
    <b v="1"/>
    <n v="17"/>
    <b v="0"/>
    <n v="4196.271632"/>
    <n v="2838.5"/>
    <n v="7427"/>
    <s v="Overstock"/>
    <n v="2.1490223709705832E-2"/>
    <s v="Slow"/>
    <n v="202.93272262295082"/>
    <n v="0.38218661639962298"/>
    <s v="Under Utilized"/>
    <n v="0"/>
  </r>
  <r>
    <x v="674"/>
    <s v="East"/>
    <x v="3"/>
    <s v="Supplier B"/>
    <x v="2"/>
    <x v="0"/>
    <n v="371"/>
    <n v="2376"/>
    <n v="5189.9213989999998"/>
    <b v="1"/>
    <n v="25"/>
    <b v="0"/>
    <n v="21648.1836"/>
    <n v="3649.5"/>
    <n v="5711"/>
    <s v="Understock"/>
    <n v="0.10165776133716947"/>
    <s v="Slow"/>
    <n v="13.989006466307277"/>
    <n v="0.63902994221677467"/>
    <s v="Optimal"/>
    <n v="0"/>
  </r>
  <r>
    <x v="675"/>
    <s v="South"/>
    <x v="3"/>
    <s v="Supplier B"/>
    <x v="0"/>
    <x v="0"/>
    <n v="650"/>
    <n v="4923"/>
    <n v="3547.7835460000001"/>
    <b v="1"/>
    <n v="2"/>
    <b v="0"/>
    <n v="34559.013910000001"/>
    <n v="4863.5"/>
    <n v="7720"/>
    <s v="Overstock"/>
    <n v="0.13364860697028888"/>
    <s v="Fast"/>
    <n v="5.4581285323076925"/>
    <n v="0.62998704663212435"/>
    <s v="Optimal"/>
    <n v="0"/>
  </r>
  <r>
    <x v="676"/>
    <s v="East"/>
    <x v="3"/>
    <s v="Supplier A"/>
    <x v="0"/>
    <x v="1"/>
    <n v="523"/>
    <n v="4804"/>
    <n v="11600.378860000001"/>
    <b v="1"/>
    <n v="19"/>
    <b v="0"/>
    <n v="94670.417520000003"/>
    <n v="4682.5"/>
    <n v="8147"/>
    <s v="Overstock"/>
    <n v="0.11169247197010145"/>
    <s v="Slow"/>
    <n v="22.180456711281071"/>
    <n v="0.57475144224868047"/>
    <s v="Optimal"/>
    <n v="0"/>
  </r>
  <r>
    <x v="677"/>
    <s v="South"/>
    <x v="1"/>
    <s v="Supplier A"/>
    <x v="1"/>
    <x v="2"/>
    <n v="209"/>
    <n v="4561"/>
    <n v="2320.9404890000001"/>
    <b v="1"/>
    <n v="21"/>
    <b v="0"/>
    <n v="13044.928760000001"/>
    <n v="2502"/>
    <n v="8099"/>
    <s v="Overstock"/>
    <n v="8.3533173461231014E-2"/>
    <s v="Slow"/>
    <n v="11.104978416267944"/>
    <n v="0.30892702802815164"/>
    <s v="Under Utilized"/>
    <n v="0"/>
  </r>
  <r>
    <x v="678"/>
    <s v="East"/>
    <x v="1"/>
    <s v="Supplier D"/>
    <x v="2"/>
    <x v="2"/>
    <n v="211"/>
    <n v="443"/>
    <n v="10176.311820000001"/>
    <b v="1"/>
    <n v="27"/>
    <b v="0"/>
    <n v="29524.9398"/>
    <n v="2533.5"/>
    <n v="8944"/>
    <s v="Understock"/>
    <n v="8.3283994474047759E-2"/>
    <s v="Slow"/>
    <n v="48.228965971563987"/>
    <n v="0.28326252236135957"/>
    <s v="Under Utilized"/>
    <n v="0"/>
  </r>
  <r>
    <x v="679"/>
    <s v="West"/>
    <x v="3"/>
    <s v="Supplier A"/>
    <x v="0"/>
    <x v="2"/>
    <n v="385"/>
    <n v="4624"/>
    <n v="12363.110930000001"/>
    <b v="1"/>
    <n v="16"/>
    <b v="0"/>
    <n v="71624.787840000005"/>
    <n v="4430"/>
    <n v="9805"/>
    <s v="Overstock"/>
    <n v="8.6907449209932278E-2"/>
    <s v="Slow"/>
    <n v="32.111976441558447"/>
    <n v="0.45181030086690466"/>
    <s v="Optimal"/>
    <n v="0"/>
  </r>
  <r>
    <x v="680"/>
    <s v="South"/>
    <x v="2"/>
    <s v="Supplier B"/>
    <x v="2"/>
    <x v="1"/>
    <n v="602"/>
    <n v="4236"/>
    <n v="10848.740750000001"/>
    <b v="1"/>
    <n v="14"/>
    <b v="0"/>
    <n v="97970.364119999998"/>
    <n v="3786.5"/>
    <n v="6110"/>
    <s v="Overstock"/>
    <n v="0.15898587085699195"/>
    <s v="Medium"/>
    <n v="18.021164036544853"/>
    <n v="0.61972176759410802"/>
    <s v="Optimal"/>
    <n v="0"/>
  </r>
  <r>
    <x v="681"/>
    <s v="West"/>
    <x v="3"/>
    <s v="Supplier D"/>
    <x v="1"/>
    <x v="0"/>
    <n v="332"/>
    <n v="3337"/>
    <n v="13596.265020000001"/>
    <b v="1"/>
    <n v="11"/>
    <b v="0"/>
    <n v="61986.283759999998"/>
    <n v="3312.5"/>
    <n v="5359"/>
    <s v="Overstock"/>
    <n v="0.10022641509433962"/>
    <s v="Medium"/>
    <n v="40.952605481927712"/>
    <n v="0.61811905206195183"/>
    <s v="Optimal"/>
    <n v="0"/>
  </r>
  <r>
    <x v="682"/>
    <s v="South"/>
    <x v="1"/>
    <s v="Supplier C"/>
    <x v="1"/>
    <x v="0"/>
    <n v="412"/>
    <n v="3288"/>
    <n v="14323.0874"/>
    <b v="1"/>
    <n v="6"/>
    <b v="0"/>
    <n v="32152.542720000001"/>
    <n v="3955"/>
    <n v="9754"/>
    <s v="Understock"/>
    <n v="0.10417193426042984"/>
    <s v="Fast"/>
    <n v="34.76477524271845"/>
    <n v="0.40547467705556695"/>
    <s v="Optimal"/>
    <n v="0"/>
  </r>
  <r>
    <x v="683"/>
    <s v="West"/>
    <x v="0"/>
    <s v="Supplier C"/>
    <x v="2"/>
    <x v="0"/>
    <n v="803"/>
    <n v="4622"/>
    <n v="5454.2813200000001"/>
    <b v="0"/>
    <n v="4"/>
    <b v="0"/>
    <n v="150687.76389999999"/>
    <n v="3472.5"/>
    <n v="6387"/>
    <s v="Overstock"/>
    <n v="0.23124550035997121"/>
    <s v="Fast"/>
    <n v="6.7923802241594027"/>
    <n v="0.54368248003757635"/>
    <s v="Optimal"/>
    <n v="0"/>
  </r>
  <r>
    <x v="684"/>
    <s v="East"/>
    <x v="0"/>
    <s v="Supplier A"/>
    <x v="2"/>
    <x v="2"/>
    <n v="517"/>
    <n v="2323"/>
    <n v="9190.6995129999996"/>
    <b v="1"/>
    <n v="2"/>
    <b v="0"/>
    <n v="88421.915580000001"/>
    <n v="3309.5"/>
    <n v="6048"/>
    <s v="Understock"/>
    <n v="0.15621695120108778"/>
    <s v="Fast"/>
    <n v="17.776981649903288"/>
    <n v="0.54720568783068779"/>
    <s v="Optimal"/>
    <n v="0"/>
  </r>
  <r>
    <x v="685"/>
    <s v="South"/>
    <x v="3"/>
    <s v="Supplier A"/>
    <x v="0"/>
    <x v="0"/>
    <n v="234"/>
    <n v="4296"/>
    <n v="1217.933131"/>
    <b v="1"/>
    <n v="10"/>
    <b v="0"/>
    <n v="8859.5211029999991"/>
    <n v="3490"/>
    <n v="8875"/>
    <s v="Overstock"/>
    <n v="6.70487106017192E-2"/>
    <s v="Medium"/>
    <n v="5.2048424401709399"/>
    <n v="0.39323943661971833"/>
    <s v="Under Utilized"/>
    <n v="0"/>
  </r>
  <r>
    <x v="686"/>
    <s v="South"/>
    <x v="2"/>
    <s v="Supplier D"/>
    <x v="1"/>
    <x v="0"/>
    <n v="583"/>
    <n v="2684"/>
    <n v="708.40780080000002"/>
    <b v="1"/>
    <n v="3"/>
    <b v="0"/>
    <n v="90371.435360000003"/>
    <n v="2452.5"/>
    <n v="9695"/>
    <s v="Overstock"/>
    <n v="0.23771661569826708"/>
    <s v="Fast"/>
    <n v="1.2151077200686107"/>
    <n v="0.25296544610624033"/>
    <s v="Under Utilized"/>
    <n v="0"/>
  </r>
  <r>
    <x v="687"/>
    <s v="East"/>
    <x v="2"/>
    <s v="Supplier B"/>
    <x v="2"/>
    <x v="0"/>
    <n v="286"/>
    <n v="2221"/>
    <n v="10669.77162"/>
    <b v="1"/>
    <n v="20"/>
    <b v="0"/>
    <n v="12400.15978"/>
    <n v="1656.5"/>
    <n v="5823"/>
    <s v="Overstock"/>
    <n v="0.17265318442499245"/>
    <s v="Slow"/>
    <n v="37.306893776223774"/>
    <n v="0.28447535634552634"/>
    <s v="Under Utilized"/>
    <n v="0"/>
  </r>
  <r>
    <x v="688"/>
    <s v="South"/>
    <x v="2"/>
    <s v="Supplier A"/>
    <x v="0"/>
    <x v="0"/>
    <n v="769"/>
    <n v="1092"/>
    <n v="4237.7880789999999"/>
    <b v="1"/>
    <n v="19"/>
    <b v="0"/>
    <n v="85964.856010000003"/>
    <n v="1843"/>
    <n v="9165"/>
    <s v="Understock"/>
    <n v="0.4172544763971785"/>
    <s v="Slow"/>
    <n v="5.5107777360208061"/>
    <n v="0.20109110747408621"/>
    <s v="Under Utilized"/>
    <n v="0"/>
  </r>
  <r>
    <x v="689"/>
    <s v="North"/>
    <x v="2"/>
    <s v="Supplier D"/>
    <x v="0"/>
    <x v="0"/>
    <n v="295"/>
    <n v="2594"/>
    <n v="7788.1366770000004"/>
    <b v="1"/>
    <n v="24"/>
    <b v="0"/>
    <n v="44460.271370000002"/>
    <n v="3183"/>
    <n v="7008"/>
    <s v="Understock"/>
    <n v="9.2679861765629909E-2"/>
    <s v="Slow"/>
    <n v="26.400463311864407"/>
    <n v="0.45419520547945208"/>
    <s v="Optimal"/>
    <n v="0"/>
  </r>
  <r>
    <x v="690"/>
    <s v="South"/>
    <x v="3"/>
    <s v="Supplier C"/>
    <x v="1"/>
    <x v="0"/>
    <n v="470"/>
    <n v="3772"/>
    <n v="8278.8206719999998"/>
    <b v="1"/>
    <n v="16"/>
    <b v="0"/>
    <n v="37860.332289999998"/>
    <n v="2966"/>
    <n v="5006"/>
    <s v="Overstock"/>
    <n v="0.15846257585974377"/>
    <s v="Slow"/>
    <n v="17.614512068085105"/>
    <n v="0.59248901318417901"/>
    <s v="Optimal"/>
    <n v="0"/>
  </r>
  <r>
    <x v="691"/>
    <s v="West"/>
    <x v="0"/>
    <s v="Supplier D"/>
    <x v="1"/>
    <x v="0"/>
    <n v="352"/>
    <n v="2160"/>
    <n v="14751.47171"/>
    <b v="1"/>
    <n v="27"/>
    <b v="0"/>
    <n v="39102.458079999997"/>
    <n v="3497"/>
    <n v="5948"/>
    <s v="Understock"/>
    <n v="0.10065770660566199"/>
    <s v="Slow"/>
    <n v="41.90759008522727"/>
    <n v="0.58792871553463344"/>
    <s v="Optimal"/>
    <n v="0"/>
  </r>
  <r>
    <x v="692"/>
    <s v="East"/>
    <x v="3"/>
    <s v="Supplier A"/>
    <x v="0"/>
    <x v="2"/>
    <n v="603"/>
    <n v="4834"/>
    <n v="6295.0410300000003"/>
    <b v="0"/>
    <n v="8"/>
    <b v="0"/>
    <n v="41768.474410000003"/>
    <n v="2531.5"/>
    <n v="5316"/>
    <s v="Overstock"/>
    <n v="0.23819869642504443"/>
    <s v="Medium"/>
    <n v="10.43953736318408"/>
    <n v="0.47620391271632806"/>
    <s v="Optimal"/>
    <n v="0"/>
  </r>
  <r>
    <x v="693"/>
    <s v="West"/>
    <x v="1"/>
    <s v="Supplier D"/>
    <x v="1"/>
    <x v="2"/>
    <n v="423"/>
    <n v="229"/>
    <n v="4466.3594210000001"/>
    <b v="1"/>
    <n v="4"/>
    <b v="0"/>
    <n v="36247.840270000001"/>
    <n v="897"/>
    <n v="8821"/>
    <s v="Understock"/>
    <n v="0.47157190635451507"/>
    <s v="Fast"/>
    <n v="10.55876931678487"/>
    <n v="0.10168915088992178"/>
    <s v="Under Utilized"/>
    <n v="0"/>
  </r>
  <r>
    <x v="694"/>
    <s v="North"/>
    <x v="0"/>
    <s v="Supplier C"/>
    <x v="1"/>
    <x v="0"/>
    <n v="410"/>
    <n v="1565"/>
    <n v="14491.46472"/>
    <b v="1"/>
    <n v="29"/>
    <b v="0"/>
    <n v="9448.7951479999992"/>
    <n v="3129"/>
    <n v="9948"/>
    <s v="Understock"/>
    <n v="0.1310322786832854"/>
    <s v="Slow"/>
    <n v="35.345035902439022"/>
    <n v="0.31453558504221957"/>
    <s v="Under Utilized"/>
    <n v="0"/>
  </r>
  <r>
    <x v="695"/>
    <s v="East"/>
    <x v="1"/>
    <s v="Supplier D"/>
    <x v="2"/>
    <x v="0"/>
    <n v="894"/>
    <n v="4693"/>
    <n v="5966.6118230000002"/>
    <b v="1"/>
    <n v="18"/>
    <b v="0"/>
    <n v="85317.498009999996"/>
    <n v="3513.5"/>
    <n v="6652"/>
    <s v="Overstock"/>
    <n v="0.25444713248897111"/>
    <s v="Slow"/>
    <n v="6.6740624418344519"/>
    <n v="0.52818701142513524"/>
    <s v="Optimal"/>
    <n v="0"/>
  </r>
  <r>
    <x v="696"/>
    <s v="West"/>
    <x v="1"/>
    <s v="Supplier B"/>
    <x v="1"/>
    <x v="2"/>
    <n v="786"/>
    <n v="2334"/>
    <n v="8727.9265159999995"/>
    <b v="1"/>
    <n v="19"/>
    <b v="0"/>
    <n v="64820.213230000001"/>
    <n v="2999.5"/>
    <n v="9887"/>
    <s v="Understock"/>
    <n v="0.26204367394565758"/>
    <s v="Slow"/>
    <n v="11.104232208651398"/>
    <n v="0.30337817335895623"/>
    <s v="Under Utilized"/>
    <n v="0"/>
  </r>
  <r>
    <x v="697"/>
    <s v="North"/>
    <x v="1"/>
    <s v="Supplier A"/>
    <x v="1"/>
    <x v="0"/>
    <n v="857"/>
    <n v="3665"/>
    <n v="3151.9492690000002"/>
    <b v="0"/>
    <n v="27"/>
    <b v="0"/>
    <n v="30074.04046"/>
    <n v="3834"/>
    <n v="8103"/>
    <s v="Understock"/>
    <n v="0.22352634324465309"/>
    <s v="Slow"/>
    <n v="3.6778871283547261"/>
    <n v="0.47315808959644579"/>
    <s v="Optimal"/>
    <n v="0"/>
  </r>
  <r>
    <x v="698"/>
    <s v="North"/>
    <x v="3"/>
    <s v="Supplier B"/>
    <x v="0"/>
    <x v="0"/>
    <n v="347"/>
    <n v="4003"/>
    <n v="14142.70588"/>
    <b v="1"/>
    <n v="25"/>
    <b v="0"/>
    <n v="67444.467980000001"/>
    <n v="2193"/>
    <n v="9666"/>
    <s v="Overstock"/>
    <n v="0.15823073415412678"/>
    <s v="Slow"/>
    <n v="40.757077463976941"/>
    <n v="0.22687771570453136"/>
    <s v="Under Utilized"/>
    <n v="0"/>
  </r>
  <r>
    <x v="699"/>
    <s v="East"/>
    <x v="2"/>
    <s v="Supplier B"/>
    <x v="0"/>
    <x v="0"/>
    <n v="493"/>
    <n v="383"/>
    <n v="2643.860349"/>
    <b v="1"/>
    <n v="15"/>
    <b v="1"/>
    <n v="49947.56321"/>
    <n v="574.5"/>
    <n v="6755"/>
    <s v="Understock"/>
    <n v="0.85813751087902523"/>
    <s v="Slow"/>
    <n v="5.3627998965517243"/>
    <n v="8.5048112509252399E-2"/>
    <s v="Under Utilized"/>
    <n v="1"/>
  </r>
  <r>
    <x v="700"/>
    <s v="West"/>
    <x v="0"/>
    <s v="Supplier B"/>
    <x v="2"/>
    <x v="0"/>
    <n v="827"/>
    <n v="766"/>
    <n v="14539.028190000001"/>
    <b v="1"/>
    <n v="27"/>
    <b v="0"/>
    <n v="112952.0604"/>
    <n v="2767.5"/>
    <n v="8987"/>
    <s v="Understock"/>
    <n v="0.29882565492321589"/>
    <s v="Slow"/>
    <n v="17.580445211608225"/>
    <n v="0.30794480916879935"/>
    <s v="Under Utilized"/>
    <n v="0"/>
  </r>
  <r>
    <x v="701"/>
    <s v="North"/>
    <x v="2"/>
    <s v="Supplier B"/>
    <x v="1"/>
    <x v="0"/>
    <n v="430"/>
    <n v="4769"/>
    <n v="8359.3925099999997"/>
    <b v="1"/>
    <n v="24"/>
    <b v="0"/>
    <n v="54198.9254"/>
    <n v="4233.5"/>
    <n v="6164"/>
    <s v="Overstock"/>
    <n v="0.10157080429904335"/>
    <s v="Slow"/>
    <n v="19.440447697674418"/>
    <n v="0.68681051265412074"/>
    <s v="Optimal"/>
    <n v="0"/>
  </r>
  <r>
    <x v="702"/>
    <s v="West"/>
    <x v="1"/>
    <s v="Supplier C"/>
    <x v="2"/>
    <x v="2"/>
    <n v="145"/>
    <n v="3698"/>
    <n v="3647.9968269999999"/>
    <b v="1"/>
    <n v="27"/>
    <b v="0"/>
    <n v="12890.93144"/>
    <n v="3199"/>
    <n v="5554"/>
    <s v="Overstock"/>
    <n v="4.5326664582682086E-2"/>
    <s v="Slow"/>
    <n v="25.158598806896553"/>
    <n v="0.57598127475693195"/>
    <s v="Optimal"/>
    <n v="0"/>
  </r>
  <r>
    <x v="703"/>
    <s v="East"/>
    <x v="2"/>
    <s v="Supplier B"/>
    <x v="0"/>
    <x v="0"/>
    <n v="842"/>
    <n v="2700"/>
    <n v="12298.798930000001"/>
    <b v="0"/>
    <n v="6"/>
    <b v="1"/>
    <n v="74376.85428"/>
    <n v="1759.5"/>
    <n v="7264"/>
    <s v="Overstock"/>
    <n v="0.47854504120488778"/>
    <s v="Fast"/>
    <n v="14.606649560570073"/>
    <n v="0.24222191629955947"/>
    <s v="Under Utilized"/>
    <n v="1"/>
  </r>
  <r>
    <x v="704"/>
    <s v="East"/>
    <x v="0"/>
    <s v="Supplier C"/>
    <x v="2"/>
    <x v="0"/>
    <n v="845"/>
    <n v="819"/>
    <n v="3626.3415960000002"/>
    <b v="1"/>
    <n v="26"/>
    <b v="0"/>
    <n v="80133.179170000003"/>
    <n v="2535"/>
    <n v="9158"/>
    <s v="Understock"/>
    <n v="0.33333333333333331"/>
    <s v="Slow"/>
    <n v="4.2915285159763314"/>
    <n v="0.27680716313605591"/>
    <s v="Under Utilized"/>
    <n v="0"/>
  </r>
  <r>
    <x v="705"/>
    <s v="North"/>
    <x v="2"/>
    <s v="Supplier C"/>
    <x v="1"/>
    <x v="0"/>
    <n v="727"/>
    <n v="4251"/>
    <n v="5451.3063959999999"/>
    <b v="1"/>
    <n v="5"/>
    <b v="0"/>
    <n v="94002.045870000002"/>
    <n v="4214.5"/>
    <n v="7182"/>
    <s v="Overstock"/>
    <n v="0.17249970340491161"/>
    <s v="Fast"/>
    <n v="7.4983581788170559"/>
    <n v="0.58681425786688945"/>
    <s v="Optimal"/>
    <n v="0"/>
  </r>
  <r>
    <x v="706"/>
    <s v="South"/>
    <x v="1"/>
    <s v="Supplier A"/>
    <x v="1"/>
    <x v="1"/>
    <n v="645"/>
    <n v="4178"/>
    <n v="10493.130450000001"/>
    <b v="1"/>
    <n v="17"/>
    <b v="0"/>
    <n v="90932.488819999999"/>
    <n v="3199.5"/>
    <n v="6589"/>
    <s v="Overstock"/>
    <n v="0.20159399906235348"/>
    <s v="Slow"/>
    <n v="16.268419302325583"/>
    <n v="0.48558203065715588"/>
    <s v="Optimal"/>
    <n v="0"/>
  </r>
  <r>
    <x v="707"/>
    <s v="North"/>
    <x v="0"/>
    <s v="Supplier B"/>
    <x v="1"/>
    <x v="2"/>
    <n v="79"/>
    <n v="2221"/>
    <n v="10249.04988"/>
    <b v="1"/>
    <n v="6"/>
    <b v="0"/>
    <n v="8305.7895549999994"/>
    <n v="2744.5"/>
    <n v="9163"/>
    <s v="Understock"/>
    <n v="2.8784842412096921E-2"/>
    <s v="Fast"/>
    <n v="129.73480860759494"/>
    <n v="0.29951980792316929"/>
    <s v="Under Utilized"/>
    <n v="0"/>
  </r>
  <r>
    <x v="708"/>
    <s v="North"/>
    <x v="3"/>
    <s v="Supplier C"/>
    <x v="0"/>
    <x v="0"/>
    <n v="743"/>
    <n v="3268"/>
    <n v="1669.7116269999999"/>
    <b v="1"/>
    <n v="10"/>
    <b v="0"/>
    <n v="99245.987299999993"/>
    <n v="2018.5"/>
    <n v="9347"/>
    <s v="Overstock"/>
    <n v="0.36809512013871687"/>
    <s v="Medium"/>
    <n v="2.2472565639300135"/>
    <n v="0.21595164223815128"/>
    <s v="Under Utilized"/>
    <n v="0"/>
  </r>
  <r>
    <x v="709"/>
    <s v="West"/>
    <x v="3"/>
    <s v="Supplier B"/>
    <x v="0"/>
    <x v="0"/>
    <n v="365"/>
    <n v="769"/>
    <n v="1038.143139"/>
    <b v="1"/>
    <n v="19"/>
    <b v="0"/>
    <n v="64325.264150000003"/>
    <n v="2595"/>
    <n v="5729"/>
    <s v="Understock"/>
    <n v="0.14065510597302505"/>
    <s v="Slow"/>
    <n v="2.8442277780821916"/>
    <n v="0.45295863152382615"/>
    <s v="Optimal"/>
    <n v="0"/>
  </r>
  <r>
    <x v="710"/>
    <s v="North"/>
    <x v="0"/>
    <s v="Supplier C"/>
    <x v="0"/>
    <x v="0"/>
    <n v="947"/>
    <n v="4421"/>
    <n v="8043.3634270000002"/>
    <b v="1"/>
    <n v="29"/>
    <b v="0"/>
    <n v="168113.30590000001"/>
    <n v="3841"/>
    <n v="5742"/>
    <s v="Overstock"/>
    <n v="0.24655037750585784"/>
    <s v="Slow"/>
    <n v="8.4935199862724389"/>
    <n v="0.66893068617206553"/>
    <s v="Optimal"/>
    <n v="0"/>
  </r>
  <r>
    <x v="711"/>
    <s v="North"/>
    <x v="2"/>
    <s v="Supplier A"/>
    <x v="2"/>
    <x v="0"/>
    <n v="705"/>
    <n v="3261"/>
    <n v="2519.8839109999999"/>
    <b v="1"/>
    <n v="10"/>
    <b v="0"/>
    <n v="44338.718829999998"/>
    <n v="2995.5"/>
    <n v="7585"/>
    <s v="Overstock"/>
    <n v="0.23535302954431647"/>
    <s v="Medium"/>
    <n v="3.5743034198581558"/>
    <n v="0.39492419248516808"/>
    <s v="Under Utilized"/>
    <n v="0"/>
  </r>
  <r>
    <x v="712"/>
    <s v="West"/>
    <x v="2"/>
    <s v="Supplier B"/>
    <x v="0"/>
    <x v="1"/>
    <n v="866"/>
    <n v="2730"/>
    <n v="12740.69549"/>
    <b v="1"/>
    <n v="29"/>
    <b v="0"/>
    <n v="61425.866909999997"/>
    <n v="2955.5"/>
    <n v="6623"/>
    <s v="Understock"/>
    <n v="0.29301302656064965"/>
    <s v="Slow"/>
    <n v="14.712119503464203"/>
    <n v="0.44624792390155521"/>
    <s v="Optimal"/>
    <n v="0"/>
  </r>
  <r>
    <x v="713"/>
    <s v="East"/>
    <x v="0"/>
    <s v="Supplier D"/>
    <x v="1"/>
    <x v="0"/>
    <n v="231"/>
    <n v="3181"/>
    <n v="2178.5206710000002"/>
    <b v="1"/>
    <n v="10"/>
    <b v="0"/>
    <n v="16743.801459999999"/>
    <n v="3227.5"/>
    <n v="6692"/>
    <s v="Understock"/>
    <n v="7.1572424477149496E-2"/>
    <s v="Medium"/>
    <n v="9.4308254155844171"/>
    <n v="0.48229228930065748"/>
    <s v="Optimal"/>
    <n v="0"/>
  </r>
  <r>
    <x v="714"/>
    <s v="South"/>
    <x v="2"/>
    <s v="Supplier A"/>
    <x v="1"/>
    <x v="0"/>
    <n v="930"/>
    <n v="3274"/>
    <n v="2443.360968"/>
    <b v="1"/>
    <n v="16"/>
    <b v="0"/>
    <n v="136680.70569999999"/>
    <n v="2969.5"/>
    <n v="7071"/>
    <s v="Overstock"/>
    <n v="0.31318403771678732"/>
    <s v="Slow"/>
    <n v="2.627269858064516"/>
    <n v="0.41995474473200395"/>
    <s v="Optimal"/>
    <n v="0"/>
  </r>
  <r>
    <x v="715"/>
    <s v="North"/>
    <x v="1"/>
    <s v="Supplier D"/>
    <x v="1"/>
    <x v="2"/>
    <n v="844"/>
    <n v="2665"/>
    <n v="9544.284028"/>
    <b v="1"/>
    <n v="10"/>
    <b v="0"/>
    <n v="42146.073499999999"/>
    <n v="2262"/>
    <n v="5851"/>
    <s v="Overstock"/>
    <n v="0.37312113174182138"/>
    <s v="Medium"/>
    <n v="11.308393398104265"/>
    <n v="0.38660058109724832"/>
    <s v="Under Utilized"/>
    <n v="0"/>
  </r>
  <r>
    <x v="716"/>
    <s v="South"/>
    <x v="2"/>
    <s v="Supplier C"/>
    <x v="1"/>
    <x v="0"/>
    <n v="539"/>
    <n v="1859"/>
    <n v="13535.847750000001"/>
    <b v="1"/>
    <n v="27"/>
    <b v="0"/>
    <n v="59513.31265"/>
    <n v="1581"/>
    <n v="7427"/>
    <s v="Overstock"/>
    <n v="0.34092346616065783"/>
    <s v="Slow"/>
    <n v="25.112890074211503"/>
    <n v="0.21287195368250977"/>
    <s v="Under Utilized"/>
    <n v="0"/>
  </r>
  <r>
    <x v="717"/>
    <s v="North"/>
    <x v="2"/>
    <s v="Supplier A"/>
    <x v="0"/>
    <x v="1"/>
    <n v="244"/>
    <n v="1303"/>
    <n v="9679.7343340000007"/>
    <b v="1"/>
    <n v="22"/>
    <b v="0"/>
    <n v="35633.427819999997"/>
    <n v="2523.5"/>
    <n v="5729"/>
    <s v="Understock"/>
    <n v="9.6691103625916389E-2"/>
    <s v="Slow"/>
    <n v="39.671042352459018"/>
    <n v="0.44047826845871879"/>
    <s v="Optimal"/>
    <n v="0"/>
  </r>
  <r>
    <x v="718"/>
    <s v="South"/>
    <x v="3"/>
    <s v="Supplier A"/>
    <x v="0"/>
    <x v="0"/>
    <n v="61"/>
    <n v="3744"/>
    <n v="2263.276261"/>
    <b v="1"/>
    <n v="29"/>
    <b v="1"/>
    <n v="11941.860570000001"/>
    <n v="2230"/>
    <n v="8910"/>
    <s v="Overstock"/>
    <n v="2.7354260089686097E-2"/>
    <s v="Slow"/>
    <n v="37.102889524590161"/>
    <n v="0.25028058361391697"/>
    <s v="Under Utilized"/>
    <n v="1"/>
  </r>
  <r>
    <x v="719"/>
    <s v="West"/>
    <x v="0"/>
    <s v="Supplier B"/>
    <x v="2"/>
    <x v="0"/>
    <n v="244"/>
    <n v="716"/>
    <n v="956.93912469999998"/>
    <b v="1"/>
    <n v="9"/>
    <b v="0"/>
    <n v="44005.111019999997"/>
    <n v="1371"/>
    <n v="7739"/>
    <s v="Understock"/>
    <n v="0.17797228300510576"/>
    <s v="Medium"/>
    <n v="3.9218816586065572"/>
    <n v="0.17715467114614292"/>
    <s v="Under Utilized"/>
    <n v="0"/>
  </r>
  <r>
    <x v="720"/>
    <s v="West"/>
    <x v="3"/>
    <s v="Supplier D"/>
    <x v="0"/>
    <x v="0"/>
    <n v="542"/>
    <n v="2026"/>
    <n v="11259.32555"/>
    <b v="1"/>
    <n v="29"/>
    <b v="0"/>
    <n v="98375.058810000002"/>
    <n v="2620"/>
    <n v="6368"/>
    <s v="Understock"/>
    <n v="0.20687022900763358"/>
    <s v="Slow"/>
    <n v="20.773663376383762"/>
    <n v="0.41143216080402012"/>
    <s v="Optimal"/>
    <n v="0"/>
  </r>
  <r>
    <x v="721"/>
    <s v="North"/>
    <x v="3"/>
    <s v="Supplier C"/>
    <x v="0"/>
    <x v="0"/>
    <n v="380"/>
    <n v="3214"/>
    <n v="9926.6417399999991"/>
    <b v="1"/>
    <n v="4"/>
    <b v="0"/>
    <n v="54175.511910000001"/>
    <n v="2977.5"/>
    <n v="8897"/>
    <s v="Overstock"/>
    <n v="0.12762384550797648"/>
    <s v="Fast"/>
    <n v="26.122741421052631"/>
    <n v="0.33466336967517141"/>
    <s v="Under Utilized"/>
    <n v="0"/>
  </r>
  <r>
    <x v="722"/>
    <s v="West"/>
    <x v="1"/>
    <s v="Supplier D"/>
    <x v="2"/>
    <x v="0"/>
    <n v="220"/>
    <n v="2741"/>
    <n v="14713.78751"/>
    <b v="1"/>
    <n v="27"/>
    <b v="0"/>
    <n v="38107.812460000001"/>
    <n v="2460"/>
    <n v="7788"/>
    <s v="Overstock"/>
    <n v="8.943089430894309E-2"/>
    <s v="Slow"/>
    <n v="66.880852318181823"/>
    <n v="0.31587057010785824"/>
    <s v="Under Utilized"/>
    <n v="0"/>
  </r>
  <r>
    <x v="723"/>
    <s v="North"/>
    <x v="1"/>
    <s v="Supplier B"/>
    <x v="2"/>
    <x v="0"/>
    <n v="867"/>
    <n v="2179"/>
    <n v="6415.0983660000002"/>
    <b v="1"/>
    <n v="5"/>
    <b v="0"/>
    <n v="96185.644130000001"/>
    <n v="2420.5"/>
    <n v="7524"/>
    <s v="Understock"/>
    <n v="0.35819045651724851"/>
    <s v="Fast"/>
    <n v="7.3991907335640139"/>
    <n v="0.32170388091440721"/>
    <s v="Under Utilized"/>
    <n v="0"/>
  </r>
  <r>
    <x v="724"/>
    <s v="West"/>
    <x v="2"/>
    <s v="Supplier B"/>
    <x v="2"/>
    <x v="2"/>
    <n v="345"/>
    <n v="2662"/>
    <n v="12943.01441"/>
    <b v="1"/>
    <n v="22"/>
    <b v="0"/>
    <n v="36589.824869999997"/>
    <n v="3248"/>
    <n v="5035"/>
    <s v="Understock"/>
    <n v="0.1062192118226601"/>
    <s v="Slow"/>
    <n v="37.515983797101448"/>
    <n v="0.6450844091360477"/>
    <s v="Optimal"/>
    <n v="0"/>
  </r>
  <r>
    <x v="725"/>
    <s v="East"/>
    <x v="2"/>
    <s v="Supplier D"/>
    <x v="2"/>
    <x v="0"/>
    <n v="459"/>
    <n v="3834"/>
    <n v="14970.67311"/>
    <b v="1"/>
    <n v="20"/>
    <b v="0"/>
    <n v="69356.511429999999"/>
    <n v="3331"/>
    <n v="8326"/>
    <s v="Overstock"/>
    <n v="0.13779645752026418"/>
    <s v="Slow"/>
    <n v="32.615845555555552"/>
    <n v="0.40007206341580592"/>
    <s v="Optimal"/>
    <n v="0"/>
  </r>
  <r>
    <x v="726"/>
    <s v="West"/>
    <x v="2"/>
    <s v="Supplier D"/>
    <x v="1"/>
    <x v="0"/>
    <n v="580"/>
    <n v="2828"/>
    <n v="4398.4252370000004"/>
    <b v="1"/>
    <n v="5"/>
    <b v="0"/>
    <n v="78892.393339999995"/>
    <n v="1736.5"/>
    <n v="5349"/>
    <s v="Overstock"/>
    <n v="0.33400518283904407"/>
    <s v="Fast"/>
    <n v="7.5834917879310355"/>
    <n v="0.32464011964853245"/>
    <s v="Under Utilized"/>
    <n v="0"/>
  </r>
  <r>
    <x v="727"/>
    <s v="East"/>
    <x v="0"/>
    <s v="Supplier A"/>
    <x v="1"/>
    <x v="2"/>
    <n v="157"/>
    <n v="645"/>
    <n v="4842.1369969999996"/>
    <b v="1"/>
    <n v="5"/>
    <b v="0"/>
    <n v="23569.18247"/>
    <n v="1602.5"/>
    <n v="6436"/>
    <s v="Understock"/>
    <n v="9.7971918876755076E-2"/>
    <s v="Fast"/>
    <n v="30.841636923566877"/>
    <n v="0.24899005593536358"/>
    <s v="Under Utilized"/>
    <n v="0"/>
  </r>
  <r>
    <x v="728"/>
    <s v="West"/>
    <x v="2"/>
    <s v="Supplier B"/>
    <x v="1"/>
    <x v="2"/>
    <n v="821"/>
    <n v="2560"/>
    <n v="10684.87781"/>
    <b v="1"/>
    <n v="6"/>
    <b v="0"/>
    <n v="158581.05780000001"/>
    <n v="2393"/>
    <n v="9102"/>
    <s v="Overstock"/>
    <n v="0.34308399498537401"/>
    <s v="Fast"/>
    <n v="13.014467490864799"/>
    <n v="0.26290925071412874"/>
    <s v="Under Utilized"/>
    <n v="0"/>
  </r>
  <r>
    <x v="729"/>
    <s v="North"/>
    <x v="3"/>
    <s v="Supplier D"/>
    <x v="0"/>
    <x v="1"/>
    <n v="841"/>
    <n v="2226"/>
    <n v="2002.732534"/>
    <b v="1"/>
    <n v="2"/>
    <b v="0"/>
    <n v="81520.482189999995"/>
    <n v="2972"/>
    <n v="8290"/>
    <s v="Understock"/>
    <n v="0.28297442799461642"/>
    <s v="Fast"/>
    <n v="2.3813704328180738"/>
    <n v="0.35850422195416165"/>
    <s v="Under Utilized"/>
    <n v="0"/>
  </r>
  <r>
    <x v="730"/>
    <s v="West"/>
    <x v="0"/>
    <s v="Supplier C"/>
    <x v="1"/>
    <x v="0"/>
    <n v="667"/>
    <n v="3718"/>
    <n v="5808.6402099999996"/>
    <b v="1"/>
    <n v="12"/>
    <b v="0"/>
    <n v="115524.3658"/>
    <n v="3521.5"/>
    <n v="7578"/>
    <s v="Overstock"/>
    <n v="0.18940792276018742"/>
    <s v="Medium"/>
    <n v="8.7086060119940019"/>
    <n v="0.46470044866719451"/>
    <s v="Optimal"/>
    <n v="0"/>
  </r>
  <r>
    <x v="731"/>
    <s v="North"/>
    <x v="1"/>
    <s v="Supplier D"/>
    <x v="0"/>
    <x v="0"/>
    <n v="435"/>
    <n v="3325"/>
    <n v="13913.43607"/>
    <b v="1"/>
    <n v="9"/>
    <b v="0"/>
    <n v="25283.884300000002"/>
    <n v="2391"/>
    <n v="9508"/>
    <s v="Overstock"/>
    <n v="0.18193224592220827"/>
    <s v="Medium"/>
    <n v="31.984910505747127"/>
    <n v="0.2514724442574674"/>
    <s v="Under Utilized"/>
    <n v="0"/>
  </r>
  <r>
    <x v="732"/>
    <s v="North"/>
    <x v="2"/>
    <s v="Supplier B"/>
    <x v="0"/>
    <x v="1"/>
    <n v="760"/>
    <n v="1457"/>
    <n v="3498.5663030000001"/>
    <b v="1"/>
    <n v="2"/>
    <b v="1"/>
    <n v="96996.745590000006"/>
    <n v="2674"/>
    <n v="5204"/>
    <s v="Understock"/>
    <n v="0.28421839940164545"/>
    <s v="Fast"/>
    <n v="4.6033767144736846"/>
    <n v="0.51383551114527282"/>
    <s v="Optimal"/>
    <n v="1"/>
  </r>
  <r>
    <x v="733"/>
    <s v="West"/>
    <x v="0"/>
    <s v="Supplier D"/>
    <x v="2"/>
    <x v="2"/>
    <n v="667"/>
    <n v="3891"/>
    <n v="1102.6178"/>
    <b v="1"/>
    <n v="19"/>
    <b v="1"/>
    <n v="99369.429990000004"/>
    <n v="2398"/>
    <n v="5704"/>
    <s v="Overstock"/>
    <n v="0.2781484570475396"/>
    <s v="Slow"/>
    <n v="1.6531001499250375"/>
    <n v="0.42040673211781204"/>
    <s v="Optimal"/>
    <n v="1"/>
  </r>
  <r>
    <x v="734"/>
    <s v="East"/>
    <x v="3"/>
    <s v="Supplier C"/>
    <x v="0"/>
    <x v="0"/>
    <n v="230"/>
    <n v="905"/>
    <n v="9711.3423170000005"/>
    <b v="1"/>
    <n v="4"/>
    <b v="0"/>
    <n v="14736.357400000001"/>
    <n v="2849.5"/>
    <n v="8224"/>
    <s v="Understock"/>
    <n v="8.0715915072819791E-2"/>
    <s v="Fast"/>
    <n v="42.223227465217391"/>
    <n v="0.34648589494163423"/>
    <s v="Under Utilized"/>
    <n v="0"/>
  </r>
  <r>
    <x v="735"/>
    <s v="West"/>
    <x v="1"/>
    <s v="Supplier B"/>
    <x v="2"/>
    <x v="0"/>
    <n v="608"/>
    <n v="4794"/>
    <n v="12761.81033"/>
    <b v="0"/>
    <n v="29"/>
    <b v="0"/>
    <n v="85177.311319999993"/>
    <n v="3242"/>
    <n v="9073"/>
    <s v="Overstock"/>
    <n v="0.18753855644663789"/>
    <s v="Slow"/>
    <n v="20.989819621710527"/>
    <n v="0.35732392813843272"/>
    <s v="Under Utilized"/>
    <n v="0"/>
  </r>
  <r>
    <x v="736"/>
    <s v="North"/>
    <x v="1"/>
    <s v="Supplier C"/>
    <x v="0"/>
    <x v="0"/>
    <n v="370"/>
    <n v="1690"/>
    <n v="12107.773520000001"/>
    <b v="1"/>
    <n v="25"/>
    <b v="0"/>
    <n v="73054.734280000004"/>
    <n v="2465"/>
    <n v="8321"/>
    <s v="Understock"/>
    <n v="0.15010141987829614"/>
    <s v="Slow"/>
    <n v="32.723712216216221"/>
    <n v="0.29623843288066337"/>
    <s v="Under Utilized"/>
    <n v="0"/>
  </r>
  <r>
    <x v="737"/>
    <s v="South"/>
    <x v="0"/>
    <s v="Supplier C"/>
    <x v="2"/>
    <x v="0"/>
    <n v="397"/>
    <n v="3240"/>
    <n v="14941.90791"/>
    <b v="0"/>
    <n v="26"/>
    <b v="0"/>
    <n v="61079.705370000003"/>
    <n v="3810"/>
    <n v="9819"/>
    <s v="Understock"/>
    <n v="0.1041994750656168"/>
    <s v="Slow"/>
    <n v="37.63704763224181"/>
    <n v="0.38802322028719827"/>
    <s v="Under Utilized"/>
    <n v="0"/>
  </r>
  <r>
    <x v="738"/>
    <s v="North"/>
    <x v="1"/>
    <s v="Supplier D"/>
    <x v="1"/>
    <x v="2"/>
    <n v="274"/>
    <n v="4380"/>
    <n v="8232.9712560000007"/>
    <b v="1"/>
    <n v="27"/>
    <b v="1"/>
    <n v="28212.612519999999"/>
    <n v="2591.5"/>
    <n v="7647"/>
    <s v="Overstock"/>
    <n v="0.10573027204321821"/>
    <s v="Slow"/>
    <n v="30.047340350364966"/>
    <n v="0.33889106839283378"/>
    <s v="Under Utilized"/>
    <n v="1"/>
  </r>
  <r>
    <x v="739"/>
    <s v="South"/>
    <x v="1"/>
    <s v="Supplier C"/>
    <x v="2"/>
    <x v="0"/>
    <n v="770"/>
    <n v="803"/>
    <n v="3700.1365839999999"/>
    <b v="1"/>
    <n v="13"/>
    <b v="0"/>
    <n v="27285.095659999999"/>
    <n v="734.5"/>
    <n v="7358"/>
    <s v="Overstock"/>
    <n v="1.0483321987746768"/>
    <s v="Medium"/>
    <n v="4.8053721870129866"/>
    <n v="9.982332155477032E-2"/>
    <s v="Under Utilized"/>
    <n v="0"/>
  </r>
  <r>
    <x v="740"/>
    <s v="East"/>
    <x v="0"/>
    <s v="Supplier C"/>
    <x v="0"/>
    <x v="0"/>
    <n v="656"/>
    <n v="666"/>
    <n v="6400.027255"/>
    <b v="1"/>
    <n v="25"/>
    <b v="0"/>
    <n v="93411.867020000005"/>
    <n v="1717"/>
    <n v="6263"/>
    <s v="Understock"/>
    <n v="0.38206173558532325"/>
    <s v="Slow"/>
    <n v="9.7561391082317073"/>
    <n v="0.27414976848155836"/>
    <s v="Under Utilized"/>
    <n v="0"/>
  </r>
  <r>
    <x v="741"/>
    <s v="East"/>
    <x v="2"/>
    <s v="Supplier A"/>
    <x v="2"/>
    <x v="1"/>
    <n v="957"/>
    <n v="2768"/>
    <n v="857.71434079999995"/>
    <b v="1"/>
    <n v="4"/>
    <b v="0"/>
    <n v="108718.567"/>
    <n v="1707.5"/>
    <n v="7457"/>
    <s v="Overstock"/>
    <n v="0.56046852122986823"/>
    <s v="Fast"/>
    <n v="0.89625322967607102"/>
    <n v="0.22897948236556256"/>
    <s v="Under Utilized"/>
    <n v="0"/>
  </r>
  <r>
    <x v="742"/>
    <s v="West"/>
    <x v="1"/>
    <s v="Supplier A"/>
    <x v="1"/>
    <x v="0"/>
    <n v="355"/>
    <n v="647"/>
    <n v="7882.7905010000004"/>
    <b v="0"/>
    <n v="9"/>
    <b v="0"/>
    <n v="8483.3009750000001"/>
    <n v="386.5"/>
    <n v="9874"/>
    <s v="Overstock"/>
    <n v="0.91849935316946962"/>
    <s v="Medium"/>
    <n v="22.205043664788732"/>
    <n v="3.9143204375126597E-2"/>
    <s v="Under Utilized"/>
    <n v="0"/>
  </r>
  <r>
    <x v="743"/>
    <s v="South"/>
    <x v="3"/>
    <s v="Supplier B"/>
    <x v="1"/>
    <x v="0"/>
    <n v="928"/>
    <n v="126"/>
    <n v="1956.63447"/>
    <b v="1"/>
    <n v="7"/>
    <b v="0"/>
    <n v="49898.539530000002"/>
    <n v="646.5"/>
    <n v="9501"/>
    <s v="Understock"/>
    <n v="1.4354215003866977"/>
    <s v="Fast"/>
    <n v="2.1084423168103448"/>
    <n v="6.8045468898010733E-2"/>
    <s v="Under Utilized"/>
    <n v="0"/>
  </r>
  <r>
    <x v="744"/>
    <s v="East"/>
    <x v="1"/>
    <s v="Supplier A"/>
    <x v="1"/>
    <x v="0"/>
    <n v="459"/>
    <n v="1167"/>
    <n v="6483.8346009999996"/>
    <b v="1"/>
    <n v="11"/>
    <b v="0"/>
    <n v="44116.369209999997"/>
    <n v="2592.5"/>
    <n v="9417"/>
    <s v="Understock"/>
    <n v="0.17704918032786884"/>
    <s v="Medium"/>
    <n v="14.12600130936819"/>
    <n v="0.27529998938090688"/>
    <s v="Under Utilized"/>
    <n v="0"/>
  </r>
  <r>
    <x v="745"/>
    <s v="North"/>
    <x v="3"/>
    <s v="Supplier B"/>
    <x v="1"/>
    <x v="0"/>
    <n v="376"/>
    <n v="4018"/>
    <n v="570.59191099999998"/>
    <b v="1"/>
    <n v="21"/>
    <b v="0"/>
    <n v="8428.4628950000006"/>
    <n v="4302"/>
    <n v="5227"/>
    <s v="Understock"/>
    <n v="8.7401208740120875E-2"/>
    <s v="Slow"/>
    <n v="1.5175316781914894"/>
    <n v="0.82303424526497038"/>
    <s v="Optimal"/>
    <n v="0"/>
  </r>
  <r>
    <x v="746"/>
    <s v="South"/>
    <x v="1"/>
    <s v="Supplier B"/>
    <x v="0"/>
    <x v="0"/>
    <n v="53"/>
    <n v="4586"/>
    <n v="14606.240299999999"/>
    <b v="1"/>
    <n v="21"/>
    <b v="0"/>
    <n v="1981.0915660000001"/>
    <n v="3927"/>
    <n v="8483"/>
    <s v="Overstock"/>
    <n v="1.3496307613954673E-2"/>
    <s v="Slow"/>
    <n v="275.58943962264152"/>
    <n v="0.46292585170340683"/>
    <s v="Optimal"/>
    <n v="0"/>
  </r>
  <r>
    <x v="747"/>
    <s v="South"/>
    <x v="3"/>
    <s v="Supplier C"/>
    <x v="2"/>
    <x v="0"/>
    <n v="390"/>
    <n v="3268"/>
    <n v="7454.5639030000002"/>
    <b v="1"/>
    <n v="23"/>
    <b v="0"/>
    <n v="18156.173159999998"/>
    <n v="2134.5"/>
    <n v="7785"/>
    <s v="Overstock"/>
    <n v="0.18271257905832747"/>
    <s v="Slow"/>
    <n v="19.11426641794872"/>
    <n v="0.27418111753371871"/>
    <s v="Under Utilized"/>
    <n v="0"/>
  </r>
  <r>
    <x v="748"/>
    <s v="South"/>
    <x v="3"/>
    <s v="Supplier C"/>
    <x v="0"/>
    <x v="0"/>
    <n v="936"/>
    <n v="1001"/>
    <n v="4696.8273360000003"/>
    <b v="1"/>
    <n v="18"/>
    <b v="0"/>
    <n v="74838.253140000001"/>
    <n v="1161"/>
    <n v="8915"/>
    <s v="Understock"/>
    <n v="0.80620155038759689"/>
    <s v="Slow"/>
    <n v="5.0179779230769235"/>
    <n v="0.13022994952327538"/>
    <s v="Under Utilized"/>
    <n v="0"/>
  </r>
  <r>
    <x v="749"/>
    <s v="South"/>
    <x v="1"/>
    <s v="Supplier D"/>
    <x v="2"/>
    <x v="1"/>
    <n v="956"/>
    <n v="1321"/>
    <n v="14485.07926"/>
    <b v="1"/>
    <n v="16"/>
    <b v="0"/>
    <n v="172452.77780000001"/>
    <n v="2275"/>
    <n v="7207"/>
    <s v="Understock"/>
    <n v="0.42021978021978024"/>
    <s v="Slow"/>
    <n v="15.151756548117156"/>
    <n v="0.3156653253781046"/>
    <s v="Under Utilized"/>
    <n v="0"/>
  </r>
  <r>
    <x v="750"/>
    <s v="South"/>
    <x v="3"/>
    <s v="Supplier B"/>
    <x v="0"/>
    <x v="0"/>
    <n v="178"/>
    <n v="3229"/>
    <n v="14452.0872"/>
    <b v="1"/>
    <n v="25"/>
    <b v="0"/>
    <n v="11584.20659"/>
    <n v="2938.5"/>
    <n v="6301"/>
    <s v="Overstock"/>
    <n v="6.0575123362259654E-2"/>
    <s v="Slow"/>
    <n v="81.191501123595501"/>
    <n v="0.46635454689731787"/>
    <s v="Optimal"/>
    <n v="0"/>
  </r>
  <r>
    <x v="751"/>
    <s v="East"/>
    <x v="2"/>
    <s v="Supplier A"/>
    <x v="0"/>
    <x v="0"/>
    <n v="137"/>
    <n v="2648"/>
    <n v="4943.4138800000001"/>
    <b v="1"/>
    <n v="22"/>
    <b v="0"/>
    <n v="16021.4663"/>
    <n v="3797"/>
    <n v="7074"/>
    <s v="Understock"/>
    <n v="3.6081116671056096E-2"/>
    <s v="Slow"/>
    <n v="36.083312992700733"/>
    <n v="0.53675431156347186"/>
    <s v="Optimal"/>
    <n v="0"/>
  </r>
  <r>
    <x v="752"/>
    <s v="South"/>
    <x v="0"/>
    <s v="Supplier D"/>
    <x v="1"/>
    <x v="0"/>
    <n v="156"/>
    <n v="4946"/>
    <n v="6732.747711"/>
    <b v="1"/>
    <n v="16"/>
    <b v="0"/>
    <n v="14658.677680000001"/>
    <n v="2741.5"/>
    <n v="8197"/>
    <s v="Overstock"/>
    <n v="5.6903155207003467E-2"/>
    <s v="Slow"/>
    <n v="43.158639173076921"/>
    <n v="0.33445162864462608"/>
    <s v="Under Utilized"/>
    <n v="0"/>
  </r>
  <r>
    <x v="753"/>
    <s v="East"/>
    <x v="1"/>
    <s v="Supplier B"/>
    <x v="2"/>
    <x v="1"/>
    <n v="976"/>
    <n v="537"/>
    <n v="10866.02735"/>
    <b v="1"/>
    <n v="19"/>
    <b v="0"/>
    <n v="97923.641919999995"/>
    <n v="382.5"/>
    <n v="6145"/>
    <s v="Overstock"/>
    <n v="2.5516339869281044"/>
    <s v="Slow"/>
    <n v="11.133224743852459"/>
    <n v="6.2245728234336863E-2"/>
    <s v="Under Utilized"/>
    <n v="0"/>
  </r>
  <r>
    <x v="754"/>
    <s v="East"/>
    <x v="1"/>
    <s v="Supplier D"/>
    <x v="1"/>
    <x v="0"/>
    <n v="294"/>
    <n v="228"/>
    <n v="9651.1969040000004"/>
    <b v="1"/>
    <n v="28"/>
    <b v="0"/>
    <n v="29146.581450000001"/>
    <n v="1624"/>
    <n v="9225"/>
    <s v="Understock"/>
    <n v="0.18103448275862069"/>
    <s v="Slow"/>
    <n v="32.827200353741496"/>
    <n v="0.17604336043360433"/>
    <s v="Under Utilized"/>
    <n v="0"/>
  </r>
  <r>
    <x v="755"/>
    <s v="West"/>
    <x v="2"/>
    <s v="Supplier B"/>
    <x v="2"/>
    <x v="0"/>
    <n v="472"/>
    <n v="3020"/>
    <n v="5701.9585489999999"/>
    <b v="1"/>
    <n v="9"/>
    <b v="0"/>
    <n v="49313.707320000001"/>
    <n v="2490.5"/>
    <n v="6322"/>
    <s v="Overstock"/>
    <n v="0.18952017667135113"/>
    <s v="Medium"/>
    <n v="12.080420654661017"/>
    <n v="0.39394179057260359"/>
    <s v="Under Utilized"/>
    <n v="0"/>
  </r>
  <r>
    <x v="756"/>
    <s v="West"/>
    <x v="3"/>
    <s v="Supplier C"/>
    <x v="2"/>
    <x v="0"/>
    <n v="351"/>
    <n v="1961"/>
    <n v="12899.897499999999"/>
    <b v="1"/>
    <n v="7"/>
    <b v="0"/>
    <n v="50591.186170000001"/>
    <n v="2380"/>
    <n v="8048"/>
    <s v="Understock"/>
    <n v="0.14747899159663866"/>
    <s v="Fast"/>
    <n v="36.751844729344725"/>
    <n v="0.29572564612326041"/>
    <s v="Under Utilized"/>
    <n v="0"/>
  </r>
  <r>
    <x v="757"/>
    <s v="North"/>
    <x v="2"/>
    <s v="Supplier A"/>
    <x v="0"/>
    <x v="0"/>
    <n v="65"/>
    <n v="2799"/>
    <n v="909.3170149"/>
    <b v="1"/>
    <n v="2"/>
    <b v="0"/>
    <n v="7643.0088589999996"/>
    <n v="2001.5"/>
    <n v="6773"/>
    <s v="Overstock"/>
    <n v="3.2475643267549335E-2"/>
    <s v="Fast"/>
    <n v="13.989492536923077"/>
    <n v="0.29551159013730993"/>
    <s v="Under Utilized"/>
    <n v="0"/>
  </r>
  <r>
    <x v="758"/>
    <s v="West"/>
    <x v="2"/>
    <s v="Supplier A"/>
    <x v="2"/>
    <x v="0"/>
    <n v="193"/>
    <n v="1204"/>
    <n v="6039.7812960000001"/>
    <b v="1"/>
    <n v="19"/>
    <b v="0"/>
    <n v="33749.258569999998"/>
    <n v="714"/>
    <n v="7845"/>
    <s v="Overstock"/>
    <n v="0.2703081232492997"/>
    <s v="Slow"/>
    <n v="31.294203606217618"/>
    <n v="9.1013384321223703E-2"/>
    <s v="Under Utilized"/>
    <n v="0"/>
  </r>
  <r>
    <x v="759"/>
    <s v="North"/>
    <x v="0"/>
    <s v="Supplier A"/>
    <x v="2"/>
    <x v="0"/>
    <n v="913"/>
    <n v="224"/>
    <n v="2315.835372"/>
    <b v="1"/>
    <n v="4"/>
    <b v="0"/>
    <n v="88005.286749999999"/>
    <n v="1402.5"/>
    <n v="9620"/>
    <s v="Understock"/>
    <n v="0.65098039215686276"/>
    <s v="Fast"/>
    <n v="2.5365119079956187"/>
    <n v="0.14579002079002079"/>
    <s v="Under Utilized"/>
    <n v="0"/>
  </r>
  <r>
    <x v="760"/>
    <s v="East"/>
    <x v="3"/>
    <s v="Supplier C"/>
    <x v="1"/>
    <x v="0"/>
    <n v="834"/>
    <n v="2581"/>
    <n v="14022.73201"/>
    <b v="1"/>
    <n v="22"/>
    <b v="0"/>
    <n v="88080.166620000004"/>
    <n v="1857"/>
    <n v="8477"/>
    <s v="Overstock"/>
    <n v="0.44911147011308561"/>
    <s v="Slow"/>
    <n v="16.813827350119904"/>
    <n v="0.21906334788250562"/>
    <s v="Under Utilized"/>
    <n v="0"/>
  </r>
  <r>
    <x v="761"/>
    <s v="East"/>
    <x v="2"/>
    <s v="Supplier A"/>
    <x v="1"/>
    <x v="0"/>
    <n v="365"/>
    <n v="1133"/>
    <n v="14036.91661"/>
    <b v="1"/>
    <n v="14"/>
    <b v="0"/>
    <n v="22246.151529999999"/>
    <n v="617"/>
    <n v="5525"/>
    <s v="Overstock"/>
    <n v="0.5915721231766613"/>
    <s v="Medium"/>
    <n v="38.457305780821919"/>
    <n v="0.11167420814479638"/>
    <s v="Under Utilized"/>
    <n v="0"/>
  </r>
  <r>
    <x v="762"/>
    <s v="West"/>
    <x v="2"/>
    <s v="Supplier A"/>
    <x v="1"/>
    <x v="0"/>
    <n v="243"/>
    <n v="101"/>
    <n v="12870.358490000001"/>
    <b v="1"/>
    <n v="17"/>
    <b v="0"/>
    <n v="5786.9488499999998"/>
    <n v="1453.5"/>
    <n v="5870"/>
    <s v="Understock"/>
    <n v="0.16718266253869968"/>
    <s v="Slow"/>
    <n v="52.964438230452679"/>
    <n v="0.24761499148211244"/>
    <s v="Under Utilized"/>
    <n v="0"/>
  </r>
  <r>
    <x v="763"/>
    <s v="West"/>
    <x v="2"/>
    <s v="Supplier B"/>
    <x v="1"/>
    <x v="2"/>
    <n v="179"/>
    <n v="2806"/>
    <n v="7290.3585759999996"/>
    <b v="1"/>
    <n v="10"/>
    <b v="0"/>
    <n v="18460.305479999999"/>
    <n v="3804.5"/>
    <n v="9911"/>
    <s v="Understock"/>
    <n v="4.7049546589564992E-2"/>
    <s v="Medium"/>
    <n v="40.728260201117315"/>
    <n v="0.38386641105841995"/>
    <s v="Under Utilized"/>
    <n v="0"/>
  </r>
  <r>
    <x v="764"/>
    <s v="West"/>
    <x v="1"/>
    <s v="Supplier C"/>
    <x v="1"/>
    <x v="2"/>
    <n v="187"/>
    <n v="4803"/>
    <n v="1236.6375499999999"/>
    <b v="0"/>
    <n v="11"/>
    <b v="0"/>
    <n v="33147.824000000001"/>
    <n v="2614.5"/>
    <n v="9298"/>
    <s v="Overstock"/>
    <n v="7.1524192006119716E-2"/>
    <s v="Medium"/>
    <n v="6.6130350267379674"/>
    <n v="0.2811895031189503"/>
    <s v="Under Utilized"/>
    <n v="0"/>
  </r>
  <r>
    <x v="765"/>
    <s v="West"/>
    <x v="2"/>
    <s v="Supplier C"/>
    <x v="2"/>
    <x v="0"/>
    <n v="933"/>
    <n v="426"/>
    <n v="4884.7382340000004"/>
    <b v="1"/>
    <n v="22"/>
    <b v="0"/>
    <n v="93473.522100000002"/>
    <n v="1512.5"/>
    <n v="8049"/>
    <s v="Understock"/>
    <n v="0.61685950413223145"/>
    <s v="Slow"/>
    <n v="5.2355179356913188"/>
    <n v="0.18791154180643557"/>
    <s v="Under Utilized"/>
    <n v="0"/>
  </r>
  <r>
    <x v="766"/>
    <s v="West"/>
    <x v="1"/>
    <s v="Supplier A"/>
    <x v="2"/>
    <x v="0"/>
    <n v="236"/>
    <n v="2599"/>
    <n v="3133.6556169999999"/>
    <b v="1"/>
    <n v="16"/>
    <b v="0"/>
    <n v="21907.657910000002"/>
    <n v="1851.5"/>
    <n v="7880"/>
    <s v="Overstock"/>
    <n v="0.12746421820145828"/>
    <s v="Slow"/>
    <n v="13.278201766949152"/>
    <n v="0.23496192893401016"/>
    <s v="Under Utilized"/>
    <n v="0"/>
  </r>
  <r>
    <x v="767"/>
    <s v="North"/>
    <x v="0"/>
    <s v="Supplier A"/>
    <x v="0"/>
    <x v="1"/>
    <n v="883"/>
    <n v="1104"/>
    <n v="7151.2241770000001"/>
    <b v="1"/>
    <n v="26"/>
    <b v="0"/>
    <n v="124854.31050000001"/>
    <n v="1679.5"/>
    <n v="5061"/>
    <s v="Understock"/>
    <n v="0.52575171181899372"/>
    <s v="Slow"/>
    <n v="8.0987816274065683"/>
    <n v="0.33185141276427582"/>
    <s v="Under Utilized"/>
    <n v="0"/>
  </r>
  <r>
    <x v="768"/>
    <s v="South"/>
    <x v="1"/>
    <s v="Supplier B"/>
    <x v="2"/>
    <x v="0"/>
    <n v="337"/>
    <n v="2255"/>
    <n v="13984.06611"/>
    <b v="1"/>
    <n v="14"/>
    <b v="0"/>
    <n v="8781.229147"/>
    <n v="2876.5"/>
    <n v="5946"/>
    <s v="Understock"/>
    <n v="0.11715626629584565"/>
    <s v="Medium"/>
    <n v="41.495745133531159"/>
    <n v="0.4837706020854356"/>
    <s v="Optimal"/>
    <n v="0"/>
  </r>
  <r>
    <x v="769"/>
    <s v="North"/>
    <x v="1"/>
    <s v="Supplier D"/>
    <x v="0"/>
    <x v="0"/>
    <n v="230"/>
    <n v="3498"/>
    <n v="2666.8257490000001"/>
    <b v="1"/>
    <n v="18"/>
    <b v="0"/>
    <n v="26078.664120000001"/>
    <n v="3804.5"/>
    <n v="7893"/>
    <s v="Understock"/>
    <n v="6.0454724668156129E-2"/>
    <s v="Slow"/>
    <n v="11.594894560869566"/>
    <n v="0.48200937539592043"/>
    <s v="Optimal"/>
    <n v="0"/>
  </r>
  <r>
    <x v="770"/>
    <s v="West"/>
    <x v="3"/>
    <s v="Supplier A"/>
    <x v="0"/>
    <x v="0"/>
    <n v="656"/>
    <n v="4111"/>
    <n v="7119.3784020000003"/>
    <b v="0"/>
    <n v="21"/>
    <b v="0"/>
    <n v="61717.450190000003"/>
    <n v="3836.5"/>
    <n v="5998"/>
    <s v="Overstock"/>
    <n v="0.17098918284895087"/>
    <s v="Slow"/>
    <n v="10.852710978658537"/>
    <n v="0.63962987662554183"/>
    <s v="Optimal"/>
    <n v="0"/>
  </r>
  <r>
    <x v="771"/>
    <s v="North"/>
    <x v="1"/>
    <s v="Supplier C"/>
    <x v="0"/>
    <x v="1"/>
    <n v="388"/>
    <n v="3562"/>
    <n v="13530.68167"/>
    <b v="0"/>
    <n v="26"/>
    <b v="0"/>
    <n v="65591.678459999996"/>
    <n v="2098"/>
    <n v="7743"/>
    <s v="Overstock"/>
    <n v="0.18493803622497618"/>
    <s v="Slow"/>
    <n v="34.872890902061854"/>
    <n v="0.27095441043523183"/>
    <s v="Under Utilized"/>
    <n v="0"/>
  </r>
  <r>
    <x v="772"/>
    <s v="West"/>
    <x v="2"/>
    <s v="Supplier A"/>
    <x v="1"/>
    <x v="0"/>
    <n v="464"/>
    <n v="634"/>
    <n v="9737.7453879999994"/>
    <b v="1"/>
    <n v="2"/>
    <b v="0"/>
    <n v="76970.422420000003"/>
    <n v="2252"/>
    <n v="5810"/>
    <s v="Understock"/>
    <n v="0.20603907637655416"/>
    <s v="Fast"/>
    <n v="20.986520232758618"/>
    <n v="0.38760757314974181"/>
    <s v="Under Utilized"/>
    <n v="0"/>
  </r>
  <r>
    <x v="773"/>
    <s v="North"/>
    <x v="2"/>
    <s v="Supplier B"/>
    <x v="2"/>
    <x v="0"/>
    <n v="238"/>
    <n v="3870"/>
    <n v="14055.94918"/>
    <b v="0"/>
    <n v="4"/>
    <b v="0"/>
    <n v="24267.79952"/>
    <n v="3965"/>
    <n v="9384"/>
    <s v="Understock"/>
    <n v="6.0025220680958384E-2"/>
    <s v="Fast"/>
    <n v="59.058610000000002"/>
    <n v="0.42252770673486784"/>
    <s v="Optimal"/>
    <n v="0"/>
  </r>
  <r>
    <x v="774"/>
    <s v="North"/>
    <x v="1"/>
    <s v="Supplier B"/>
    <x v="2"/>
    <x v="0"/>
    <n v="902"/>
    <n v="4060"/>
    <n v="7559.0090730000002"/>
    <b v="1"/>
    <n v="26"/>
    <b v="0"/>
    <n v="39328.83958"/>
    <n v="2372.5"/>
    <n v="6378"/>
    <s v="Overstock"/>
    <n v="0.38018967334035825"/>
    <s v="Slow"/>
    <n v="8.3802761341463423"/>
    <n v="0.37198181248040135"/>
    <s v="Under Utilized"/>
    <n v="0"/>
  </r>
  <r>
    <x v="775"/>
    <s v="West"/>
    <x v="3"/>
    <s v="Supplier B"/>
    <x v="0"/>
    <x v="0"/>
    <n v="490"/>
    <n v="685"/>
    <n v="7216.391826"/>
    <b v="1"/>
    <n v="25"/>
    <b v="0"/>
    <n v="48095.257409999998"/>
    <n v="2234"/>
    <n v="5231"/>
    <s v="Understock"/>
    <n v="0.21933751119068934"/>
    <s v="Slow"/>
    <n v="14.727330257142857"/>
    <n v="0.42706939399732363"/>
    <s v="Optimal"/>
    <n v="0"/>
  </r>
  <r>
    <x v="776"/>
    <s v="East"/>
    <x v="0"/>
    <s v="Supplier D"/>
    <x v="2"/>
    <x v="2"/>
    <n v="212"/>
    <n v="3783"/>
    <n v="12560.007149999999"/>
    <b v="1"/>
    <n v="19"/>
    <b v="0"/>
    <n v="18215.763470000002"/>
    <n v="4021.5"/>
    <n v="9185"/>
    <s v="Understock"/>
    <n v="5.2716648016909111E-2"/>
    <s v="Slow"/>
    <n v="59.245316745283013"/>
    <n v="0.43783342406096898"/>
    <s v="Optimal"/>
    <n v="0"/>
  </r>
  <r>
    <x v="777"/>
    <s v="South"/>
    <x v="3"/>
    <s v="Supplier A"/>
    <x v="2"/>
    <x v="0"/>
    <n v="433"/>
    <n v="4260"/>
    <n v="4129.9338770000004"/>
    <b v="1"/>
    <n v="10"/>
    <b v="1"/>
    <n v="28741.788369999998"/>
    <n v="3627.5"/>
    <n v="8010"/>
    <s v="Overstock"/>
    <n v="0.11936595451412818"/>
    <s v="Medium"/>
    <n v="9.5379535265588924"/>
    <n v="0.45287141073657927"/>
    <s v="Optimal"/>
    <n v="1"/>
  </r>
  <r>
    <x v="778"/>
    <s v="South"/>
    <x v="3"/>
    <s v="Supplier C"/>
    <x v="1"/>
    <x v="0"/>
    <n v="208"/>
    <n v="2995"/>
    <n v="3657.0110330000002"/>
    <b v="1"/>
    <n v="7"/>
    <b v="0"/>
    <n v="24331.645619999999"/>
    <n v="2086"/>
    <n v="6076"/>
    <s v="Overstock"/>
    <n v="9.9712368168744014E-2"/>
    <s v="Fast"/>
    <n v="17.581783812499999"/>
    <n v="0.34331797235023043"/>
    <s v="Under Utilized"/>
    <n v="0"/>
  </r>
  <r>
    <x v="779"/>
    <s v="South"/>
    <x v="2"/>
    <s v="Supplier D"/>
    <x v="2"/>
    <x v="0"/>
    <n v="527"/>
    <n v="1177"/>
    <n v="1684.356591"/>
    <b v="1"/>
    <n v="28"/>
    <b v="0"/>
    <n v="57014.92611"/>
    <n v="668.5"/>
    <n v="5350"/>
    <s v="Overstock"/>
    <n v="0.78833208676140609"/>
    <s v="Slow"/>
    <n v="3.1961225635673625"/>
    <n v="0.12495327102803738"/>
    <s v="Under Utilized"/>
    <n v="0"/>
  </r>
  <r>
    <x v="780"/>
    <s v="South"/>
    <x v="2"/>
    <s v="Supplier B"/>
    <x v="0"/>
    <x v="0"/>
    <n v="539"/>
    <n v="160"/>
    <n v="9471.8312459999997"/>
    <b v="1"/>
    <n v="4"/>
    <b v="0"/>
    <n v="58765.87571"/>
    <n v="375.5"/>
    <n v="5740"/>
    <s v="Understock"/>
    <n v="1.4354194407456724"/>
    <s v="Fast"/>
    <n v="17.572970771799628"/>
    <n v="6.5418118466898961E-2"/>
    <s v="Under Utilized"/>
    <n v="0"/>
  </r>
  <r>
    <x v="781"/>
    <s v="West"/>
    <x v="3"/>
    <s v="Supplier C"/>
    <x v="2"/>
    <x v="0"/>
    <n v="196"/>
    <n v="591"/>
    <n v="10929.858829999999"/>
    <b v="1"/>
    <n v="11"/>
    <b v="0"/>
    <n v="20765.778419999999"/>
    <n v="1121"/>
    <n v="8283"/>
    <s v="Understock"/>
    <n v="0.17484388938447815"/>
    <s v="Medium"/>
    <n v="55.764585867346938"/>
    <n v="0.13533743812628274"/>
    <s v="Under Utilized"/>
    <n v="0"/>
  </r>
  <r>
    <x v="782"/>
    <s v="South"/>
    <x v="2"/>
    <s v="Supplier C"/>
    <x v="2"/>
    <x v="1"/>
    <n v="629"/>
    <n v="1651"/>
    <n v="9114.9776760000004"/>
    <b v="1"/>
    <n v="8"/>
    <b v="0"/>
    <n v="32668.811669999999"/>
    <n v="1323.5"/>
    <n v="7895"/>
    <s v="Overstock"/>
    <n v="0.47525500566679257"/>
    <s v="Medium"/>
    <n v="14.491220470588235"/>
    <n v="0.16763774540848639"/>
    <s v="Under Utilized"/>
    <n v="0"/>
  </r>
  <r>
    <x v="783"/>
    <s v="North"/>
    <x v="1"/>
    <s v="Supplier D"/>
    <x v="1"/>
    <x v="0"/>
    <n v="184"/>
    <n v="996"/>
    <n v="510.84177140000003"/>
    <b v="0"/>
    <n v="25"/>
    <b v="0"/>
    <n v="19586.01252"/>
    <n v="637"/>
    <n v="5519"/>
    <s v="Overstock"/>
    <n v="0.28885400313971743"/>
    <s v="Slow"/>
    <n v="2.7763139750000003"/>
    <n v="0.11541946004710998"/>
    <s v="Under Utilized"/>
    <n v="0"/>
  </r>
  <r>
    <x v="784"/>
    <s v="North"/>
    <x v="1"/>
    <s v="Supplier D"/>
    <x v="2"/>
    <x v="0"/>
    <n v="656"/>
    <n v="278"/>
    <n v="13614.565769999999"/>
    <b v="1"/>
    <n v="14"/>
    <b v="0"/>
    <n v="112907.2398"/>
    <n v="1167"/>
    <n v="6683"/>
    <s v="Understock"/>
    <n v="0.56212510711225361"/>
    <s v="Medium"/>
    <n v="20.753911234756096"/>
    <n v="0.17462217566960947"/>
    <s v="Under Utilized"/>
    <n v="0"/>
  </r>
  <r>
    <x v="785"/>
    <s v="East"/>
    <x v="3"/>
    <s v="Supplier D"/>
    <x v="1"/>
    <x v="0"/>
    <n v="667"/>
    <n v="2056"/>
    <n v="13099.907020000001"/>
    <b v="1"/>
    <n v="12"/>
    <b v="0"/>
    <n v="115960.82060000001"/>
    <n v="2456.5"/>
    <n v="6578"/>
    <s v="Understock"/>
    <n v="0.27152452676572358"/>
    <s v="Medium"/>
    <n v="19.640040509745127"/>
    <n v="0.37344177561568864"/>
    <s v="Under Utilized"/>
    <n v="0"/>
  </r>
  <r>
    <x v="786"/>
    <s v="North"/>
    <x v="2"/>
    <s v="Supplier D"/>
    <x v="0"/>
    <x v="0"/>
    <n v="698"/>
    <n v="2857"/>
    <n v="4719.4911490000004"/>
    <b v="1"/>
    <n v="26"/>
    <b v="0"/>
    <n v="125552.1857"/>
    <n v="3252.5"/>
    <n v="7207"/>
    <s v="Understock"/>
    <n v="0.21460415065334359"/>
    <s v="Slow"/>
    <n v="6.7614486375358176"/>
    <n v="0.4512973497988067"/>
    <s v="Optimal"/>
    <n v="0"/>
  </r>
  <r>
    <x v="787"/>
    <s v="South"/>
    <x v="0"/>
    <s v="Supplier A"/>
    <x v="2"/>
    <x v="0"/>
    <n v="859"/>
    <n v="3648"/>
    <n v="2394.7531410000001"/>
    <b v="1"/>
    <n v="26"/>
    <b v="0"/>
    <n v="155426.87349999999"/>
    <n v="2832"/>
    <n v="6780"/>
    <s v="Overstock"/>
    <n v="0.30331920903954801"/>
    <s v="Slow"/>
    <n v="2.7878383480791622"/>
    <n v="0.41769911504424778"/>
    <s v="Optimal"/>
    <n v="0"/>
  </r>
  <r>
    <x v="788"/>
    <s v="West"/>
    <x v="3"/>
    <s v="Supplier A"/>
    <x v="1"/>
    <x v="0"/>
    <n v="638"/>
    <n v="2016"/>
    <n v="6901.8068880000001"/>
    <b v="1"/>
    <n v="11"/>
    <b v="0"/>
    <n v="20931.469590000001"/>
    <n v="2650.5"/>
    <n v="5066"/>
    <s v="Understock"/>
    <n v="0.24070930013205055"/>
    <s v="Medium"/>
    <n v="10.817879134796238"/>
    <n v="0.5231938412949072"/>
    <s v="Optimal"/>
    <n v="0"/>
  </r>
  <r>
    <x v="789"/>
    <s v="East"/>
    <x v="2"/>
    <s v="Supplier A"/>
    <x v="0"/>
    <x v="2"/>
    <n v="851"/>
    <n v="3285"/>
    <n v="7857.1515939999999"/>
    <b v="1"/>
    <n v="20"/>
    <b v="0"/>
    <n v="73719.258130000002"/>
    <n v="2445"/>
    <n v="6683"/>
    <s v="Overstock"/>
    <n v="0.34805725971370144"/>
    <s v="Slow"/>
    <n v="9.2328455863689776"/>
    <n v="0.36585365853658536"/>
    <s v="Under Utilized"/>
    <n v="0"/>
  </r>
  <r>
    <x v="790"/>
    <s v="South"/>
    <x v="1"/>
    <s v="Supplier D"/>
    <x v="1"/>
    <x v="0"/>
    <n v="349"/>
    <n v="1605"/>
    <n v="10680.19722"/>
    <b v="1"/>
    <n v="1"/>
    <b v="0"/>
    <n v="61494.068030000002"/>
    <n v="1807.5"/>
    <n v="8618"/>
    <s v="Understock"/>
    <n v="0.19308437067773168"/>
    <s v="Fast"/>
    <n v="30.60228429799427"/>
    <n v="0.20973543745648643"/>
    <s v="Under Utilized"/>
    <n v="0"/>
  </r>
  <r>
    <x v="791"/>
    <s v="West"/>
    <x v="3"/>
    <s v="Supplier A"/>
    <x v="2"/>
    <x v="0"/>
    <n v="885"/>
    <n v="2010"/>
    <n v="13720.0538"/>
    <b v="1"/>
    <n v="28"/>
    <b v="0"/>
    <n v="163464.66510000001"/>
    <n v="3072"/>
    <n v="8616"/>
    <s v="Understock"/>
    <n v="0.2880859375"/>
    <s v="Slow"/>
    <n v="15.502885649717514"/>
    <n v="0.35654596100278552"/>
    <s v="Under Utilized"/>
    <n v="0"/>
  </r>
  <r>
    <x v="792"/>
    <s v="West"/>
    <x v="2"/>
    <s v="Supplier C"/>
    <x v="0"/>
    <x v="2"/>
    <n v="327"/>
    <n v="4134"/>
    <n v="1308.055793"/>
    <b v="1"/>
    <n v="29"/>
    <b v="0"/>
    <n v="23490.420859999998"/>
    <n v="2767.5"/>
    <n v="8698"/>
    <s v="Overstock"/>
    <n v="0.11815718157181572"/>
    <s v="Slow"/>
    <n v="4.0001706207951067"/>
    <n v="0.31817659232007356"/>
    <s v="Under Utilized"/>
    <n v="0"/>
  </r>
  <r>
    <x v="793"/>
    <s v="South"/>
    <x v="3"/>
    <s v="Supplier A"/>
    <x v="1"/>
    <x v="0"/>
    <n v="726"/>
    <n v="1401"/>
    <n v="10666.591189999999"/>
    <b v="1"/>
    <n v="10"/>
    <b v="0"/>
    <n v="54695.283349999998"/>
    <n v="1317"/>
    <n v="6044"/>
    <s v="Overstock"/>
    <n v="0.55125284738041003"/>
    <s v="Medium"/>
    <n v="14.692274366391183"/>
    <n v="0.21790205162144274"/>
    <s v="Under Utilized"/>
    <n v="0"/>
  </r>
  <r>
    <x v="794"/>
    <s v="West"/>
    <x v="1"/>
    <s v="Supplier C"/>
    <x v="1"/>
    <x v="0"/>
    <n v="636"/>
    <n v="1233"/>
    <n v="1267.157782"/>
    <b v="1"/>
    <n v="20"/>
    <b v="0"/>
    <n v="20184.069289999999"/>
    <n v="1281.5"/>
    <n v="5782"/>
    <s v="Understock"/>
    <n v="0.49629340616465079"/>
    <s v="Slow"/>
    <n v="1.9923864496855346"/>
    <n v="0.22163611207194742"/>
    <s v="Under Utilized"/>
    <n v="0"/>
  </r>
  <r>
    <x v="795"/>
    <s v="West"/>
    <x v="0"/>
    <s v="Supplier A"/>
    <x v="0"/>
    <x v="0"/>
    <n v="687"/>
    <n v="1330"/>
    <n v="8347.9541090000002"/>
    <b v="1"/>
    <n v="3"/>
    <b v="0"/>
    <n v="97661.789399999994"/>
    <n v="1974"/>
    <n v="6420"/>
    <s v="Understock"/>
    <n v="0.34802431610942247"/>
    <s v="Fast"/>
    <n v="12.15131602474527"/>
    <n v="0.30747663551401871"/>
    <s v="Under Utilized"/>
    <n v="0"/>
  </r>
  <r>
    <x v="796"/>
    <s v="North"/>
    <x v="2"/>
    <s v="Supplier D"/>
    <x v="0"/>
    <x v="0"/>
    <n v="904"/>
    <n v="2618"/>
    <n v="922.96343820000004"/>
    <b v="0"/>
    <n v="29"/>
    <b v="1"/>
    <n v="152711.95600000001"/>
    <n v="3605.5"/>
    <n v="5498"/>
    <s v="Understock"/>
    <n v="0.25072805436139234"/>
    <s v="Slow"/>
    <n v="1.0209772546460179"/>
    <n v="0.65578392142597308"/>
    <s v="Optimal"/>
    <n v="1"/>
  </r>
  <r>
    <x v="797"/>
    <s v="East"/>
    <x v="3"/>
    <s v="Supplier D"/>
    <x v="2"/>
    <x v="0"/>
    <n v="965"/>
    <n v="4593"/>
    <n v="11214.491599999999"/>
    <b v="1"/>
    <n v="24"/>
    <b v="0"/>
    <n v="127900.2031"/>
    <n v="3005"/>
    <n v="6121"/>
    <s v="Overstock"/>
    <n v="0.3211314475873544"/>
    <s v="Slow"/>
    <n v="11.62123481865285"/>
    <n v="0.49093285410880577"/>
    <s v="Optimal"/>
    <n v="0"/>
  </r>
  <r>
    <x v="798"/>
    <s v="West"/>
    <x v="1"/>
    <s v="Supplier B"/>
    <x v="1"/>
    <x v="0"/>
    <n v="566"/>
    <n v="1417"/>
    <n v="9165.6703780000007"/>
    <b v="1"/>
    <n v="11"/>
    <b v="0"/>
    <n v="60879.180800000002"/>
    <n v="2942.5"/>
    <n v="6513"/>
    <s v="Understock"/>
    <n v="0.19235344095157178"/>
    <s v="Medium"/>
    <n v="16.193763918727917"/>
    <n v="0.45178873023184402"/>
    <s v="Optimal"/>
    <n v="0"/>
  </r>
  <r>
    <x v="799"/>
    <s v="West"/>
    <x v="0"/>
    <s v="Supplier D"/>
    <x v="1"/>
    <x v="0"/>
    <n v="899"/>
    <n v="4468"/>
    <n v="8884.1665279999997"/>
    <b v="1"/>
    <n v="26"/>
    <b v="0"/>
    <n v="37933.345419999998"/>
    <n v="2344.5"/>
    <n v="7529"/>
    <s v="Overstock"/>
    <n v="0.38345062913201111"/>
    <s v="Slow"/>
    <n v="9.8822764493882094"/>
    <n v="0.31139593571523444"/>
    <s v="Under Utilized"/>
    <n v="0"/>
  </r>
  <r>
    <x v="800"/>
    <s v="North"/>
    <x v="2"/>
    <s v="Supplier A"/>
    <x v="2"/>
    <x v="0"/>
    <n v="99"/>
    <n v="221"/>
    <n v="1504.9627089999999"/>
    <b v="0"/>
    <n v="6"/>
    <b v="0"/>
    <n v="9823.0755520000002"/>
    <n v="2075.5"/>
    <n v="8437"/>
    <s v="Understock"/>
    <n v="4.7699349554324262E-2"/>
    <s v="Fast"/>
    <n v="15.201643525252525"/>
    <n v="0.24599976294891548"/>
    <s v="Under Utilized"/>
    <n v="0"/>
  </r>
  <r>
    <x v="801"/>
    <s v="West"/>
    <x v="0"/>
    <s v="Supplier A"/>
    <x v="0"/>
    <x v="0"/>
    <n v="437"/>
    <n v="3930"/>
    <n v="6882.6147659999997"/>
    <b v="1"/>
    <n v="29"/>
    <b v="0"/>
    <n v="17200.77908"/>
    <n v="3239.5"/>
    <n v="6345"/>
    <s v="Overstock"/>
    <n v="0.13489736070381231"/>
    <s v="Slow"/>
    <n v="15.749690540045766"/>
    <n v="0.51055949566587866"/>
    <s v="Optimal"/>
    <n v="0"/>
  </r>
  <r>
    <x v="802"/>
    <s v="South"/>
    <x v="2"/>
    <s v="Supplier D"/>
    <x v="2"/>
    <x v="1"/>
    <n v="337"/>
    <n v="2549"/>
    <n v="5599.9416149999997"/>
    <b v="1"/>
    <n v="20"/>
    <b v="0"/>
    <n v="18918.50978"/>
    <n v="2404"/>
    <n v="8290"/>
    <s v="Overstock"/>
    <n v="0.14018302828618967"/>
    <s v="Slow"/>
    <n v="16.617037433234419"/>
    <n v="0.28998793727382388"/>
    <s v="Under Utilized"/>
    <n v="0"/>
  </r>
  <r>
    <x v="803"/>
    <s v="West"/>
    <x v="0"/>
    <s v="Supplier C"/>
    <x v="1"/>
    <x v="2"/>
    <n v="58"/>
    <n v="2259"/>
    <n v="3079.3188519999999"/>
    <b v="1"/>
    <n v="16"/>
    <b v="0"/>
    <n v="5699.3280130000003"/>
    <n v="2508"/>
    <n v="6091"/>
    <s v="Understock"/>
    <n v="2.3125996810207338E-2"/>
    <s v="Slow"/>
    <n v="53.091704344827583"/>
    <n v="0.41175504843211297"/>
    <s v="Optimal"/>
    <n v="0"/>
  </r>
  <r>
    <x v="804"/>
    <s v="West"/>
    <x v="0"/>
    <s v="Supplier D"/>
    <x v="1"/>
    <x v="0"/>
    <n v="197"/>
    <n v="2757"/>
    <n v="6052.0937039999999"/>
    <b v="0"/>
    <n v="13"/>
    <b v="0"/>
    <n v="26845.892749999999"/>
    <n v="2729"/>
    <n v="9282"/>
    <s v="Overstock"/>
    <n v="7.2187614510809822E-2"/>
    <s v="Medium"/>
    <n v="30.721287837563452"/>
    <n v="0.29400991165697049"/>
    <s v="Under Utilized"/>
    <n v="0"/>
  </r>
  <r>
    <x v="805"/>
    <s v="East"/>
    <x v="0"/>
    <s v="Supplier D"/>
    <x v="2"/>
    <x v="0"/>
    <n v="490"/>
    <n v="2701"/>
    <n v="14742.712879999999"/>
    <b v="1"/>
    <n v="22"/>
    <b v="0"/>
    <n v="11172.61658"/>
    <n v="2161.5"/>
    <n v="5286"/>
    <s v="Overstock"/>
    <n v="0.2266944251677076"/>
    <s v="Slow"/>
    <n v="30.087169142857142"/>
    <n v="0.40891032917139614"/>
    <s v="Optimal"/>
    <n v="0"/>
  </r>
  <r>
    <x v="806"/>
    <s v="West"/>
    <x v="0"/>
    <s v="Supplier A"/>
    <x v="1"/>
    <x v="0"/>
    <n v="384"/>
    <n v="1622"/>
    <n v="4403.2512219999999"/>
    <b v="1"/>
    <n v="22"/>
    <b v="0"/>
    <n v="65556.260240000003"/>
    <n v="2603"/>
    <n v="6750"/>
    <s v="Understock"/>
    <n v="0.14752208989627352"/>
    <s v="Slow"/>
    <n v="11.466800057291666"/>
    <n v="0.38562962962962966"/>
    <s v="Under Utilized"/>
    <n v="0"/>
  </r>
  <r>
    <x v="807"/>
    <s v="West"/>
    <x v="0"/>
    <s v="Supplier A"/>
    <x v="0"/>
    <x v="2"/>
    <n v="288"/>
    <n v="3584"/>
    <n v="13230.68655"/>
    <b v="1"/>
    <n v="4"/>
    <b v="1"/>
    <n v="13302.27663"/>
    <n v="2928.5"/>
    <n v="9494"/>
    <s v="Overstock"/>
    <n v="9.8343862045415745E-2"/>
    <s v="Fast"/>
    <n v="45.939883854166666"/>
    <n v="0.30845797345692016"/>
    <s v="Under Utilized"/>
    <n v="1"/>
  </r>
  <r>
    <x v="808"/>
    <s v="East"/>
    <x v="1"/>
    <s v="Supplier A"/>
    <x v="2"/>
    <x v="0"/>
    <n v="165"/>
    <n v="2273"/>
    <n v="2610.0008560000001"/>
    <b v="1"/>
    <n v="16"/>
    <b v="0"/>
    <n v="28878.63233"/>
    <n v="2828"/>
    <n v="7056"/>
    <s v="Understock"/>
    <n v="5.8345120226308347E-2"/>
    <s v="Slow"/>
    <n v="15.818187006060606"/>
    <n v="0.40079365079365081"/>
    <s v="Optimal"/>
    <n v="0"/>
  </r>
  <r>
    <x v="809"/>
    <s v="East"/>
    <x v="0"/>
    <s v="Supplier B"/>
    <x v="0"/>
    <x v="2"/>
    <n v="631"/>
    <n v="3383"/>
    <n v="11323.08754"/>
    <b v="1"/>
    <n v="10"/>
    <b v="0"/>
    <n v="14347.903350000001"/>
    <n v="4018.5"/>
    <n v="5115"/>
    <s v="Understock"/>
    <n v="0.15702376508647506"/>
    <s v="Medium"/>
    <n v="17.944671220285262"/>
    <n v="0.78563049853372435"/>
    <s v="Optimal"/>
    <n v="0"/>
  </r>
  <r>
    <x v="810"/>
    <s v="North"/>
    <x v="0"/>
    <s v="Supplier D"/>
    <x v="2"/>
    <x v="0"/>
    <n v="599"/>
    <n v="4654"/>
    <n v="11382.890369999999"/>
    <b v="1"/>
    <n v="6"/>
    <b v="0"/>
    <n v="81364.774969999999"/>
    <n v="4179.5"/>
    <n v="9255"/>
    <s v="Overstock"/>
    <n v="0.1433185787773657"/>
    <s v="Fast"/>
    <n v="19.003155876460767"/>
    <n v="0.45159373311723394"/>
    <s v="Optimal"/>
    <n v="0"/>
  </r>
  <r>
    <x v="811"/>
    <s v="North"/>
    <x v="1"/>
    <s v="Supplier B"/>
    <x v="2"/>
    <x v="0"/>
    <n v="964"/>
    <n v="3705"/>
    <n v="3394.6177109999999"/>
    <b v="1"/>
    <n v="23"/>
    <b v="0"/>
    <n v="137797.33859999999"/>
    <n v="4237"/>
    <n v="9249"/>
    <s v="Understock"/>
    <n v="0.22751947132405004"/>
    <s v="Slow"/>
    <n v="3.5213876670124482"/>
    <n v="0.45810357876527191"/>
    <s v="Optimal"/>
    <n v="0"/>
  </r>
  <r>
    <x v="812"/>
    <s v="East"/>
    <x v="2"/>
    <s v="Supplier A"/>
    <x v="2"/>
    <x v="0"/>
    <n v="792"/>
    <n v="4769"/>
    <n v="8114.7314649999998"/>
    <b v="1"/>
    <n v="1"/>
    <b v="0"/>
    <n v="157027.74729999999"/>
    <n v="2739.5"/>
    <n v="8127"/>
    <s v="Overstock"/>
    <n v="0.28910385106771308"/>
    <s v="Fast"/>
    <n v="10.245873061868688"/>
    <n v="0.33708625569090683"/>
    <s v="Under Utilized"/>
    <n v="0"/>
  </r>
  <r>
    <x v="813"/>
    <s v="East"/>
    <x v="2"/>
    <s v="Supplier B"/>
    <x v="1"/>
    <x v="2"/>
    <n v="890"/>
    <n v="710"/>
    <n v="6811.7445010000001"/>
    <b v="1"/>
    <n v="19"/>
    <b v="0"/>
    <n v="19486.27262"/>
    <n v="880"/>
    <n v="7498"/>
    <s v="Understock"/>
    <n v="1.0113636363636365"/>
    <s v="Slow"/>
    <n v="7.6536455067415732"/>
    <n v="0.11736463056815151"/>
    <s v="Under Utilized"/>
    <n v="0"/>
  </r>
  <r>
    <x v="814"/>
    <s v="West"/>
    <x v="3"/>
    <s v="Supplier D"/>
    <x v="2"/>
    <x v="0"/>
    <n v="981"/>
    <n v="1050"/>
    <n v="9665.7417679999999"/>
    <b v="1"/>
    <n v="16"/>
    <b v="0"/>
    <n v="188805.32320000001"/>
    <n v="2459"/>
    <n v="9019"/>
    <s v="Understock"/>
    <n v="0.39894265961773079"/>
    <s v="Slow"/>
    <n v="9.8529477757390413"/>
    <n v="0.27264663488191593"/>
    <s v="Under Utilized"/>
    <n v="0"/>
  </r>
  <r>
    <x v="815"/>
    <s v="North"/>
    <x v="3"/>
    <s v="Supplier B"/>
    <x v="1"/>
    <x v="0"/>
    <n v="416"/>
    <n v="3868"/>
    <n v="14209.67548"/>
    <b v="1"/>
    <n v="4"/>
    <b v="0"/>
    <n v="76904.669630000004"/>
    <n v="2025"/>
    <n v="8231"/>
    <s v="Overstock"/>
    <n v="0.20543209876543209"/>
    <s v="Fast"/>
    <n v="34.15787375"/>
    <n v="0.24602113959421698"/>
    <s v="Under Utilized"/>
    <n v="0"/>
  </r>
  <r>
    <x v="816"/>
    <s v="North"/>
    <x v="0"/>
    <s v="Supplier B"/>
    <x v="2"/>
    <x v="0"/>
    <n v="997"/>
    <n v="182"/>
    <n v="10501.97309"/>
    <b v="1"/>
    <n v="16"/>
    <b v="0"/>
    <n v="153998.1453"/>
    <n v="2160"/>
    <n v="8663"/>
    <s v="Understock"/>
    <n v="0.46157407407407408"/>
    <s v="Slow"/>
    <n v="10.533573811434302"/>
    <n v="0.24933625764746623"/>
    <s v="Under Utilized"/>
    <n v="0"/>
  </r>
  <r>
    <x v="817"/>
    <s v="West"/>
    <x v="2"/>
    <s v="Supplier C"/>
    <x v="1"/>
    <x v="2"/>
    <n v="741"/>
    <n v="4138"/>
    <n v="776.93839060000005"/>
    <b v="1"/>
    <n v="9"/>
    <b v="0"/>
    <n v="104045.04580000001"/>
    <n v="3870"/>
    <n v="8435"/>
    <s v="Overstock"/>
    <n v="0.19147286821705425"/>
    <s v="Medium"/>
    <n v="1.0484998523616735"/>
    <n v="0.45880260818020152"/>
    <s v="Optimal"/>
    <n v="0"/>
  </r>
  <r>
    <x v="818"/>
    <s v="South"/>
    <x v="3"/>
    <s v="Supplier B"/>
    <x v="2"/>
    <x v="0"/>
    <n v="583"/>
    <n v="3602"/>
    <n v="5478.9779490000001"/>
    <b v="1"/>
    <n v="4"/>
    <b v="0"/>
    <n v="38164.544600000001"/>
    <n v="2554.5"/>
    <n v="7085"/>
    <s v="Overstock"/>
    <n v="0.22822470150714425"/>
    <s v="Fast"/>
    <n v="9.397903857632933"/>
    <n v="0.36055045871559632"/>
    <s v="Under Utilized"/>
    <n v="0"/>
  </r>
  <r>
    <x v="819"/>
    <s v="West"/>
    <x v="0"/>
    <s v="Supplier C"/>
    <x v="0"/>
    <x v="2"/>
    <n v="917"/>
    <n v="1507"/>
    <n v="10132.920819999999"/>
    <b v="1"/>
    <n v="18"/>
    <b v="1"/>
    <n v="121505.7111"/>
    <n v="3119"/>
    <n v="6024"/>
    <s v="Understock"/>
    <n v="0.29400448861814682"/>
    <s v="Slow"/>
    <n v="11.050077230098145"/>
    <n v="0.51776228419654713"/>
    <s v="Optimal"/>
    <n v="1"/>
  </r>
  <r>
    <x v="820"/>
    <s v="North"/>
    <x v="1"/>
    <s v="Supplier C"/>
    <x v="2"/>
    <x v="2"/>
    <n v="270"/>
    <n v="4731"/>
    <n v="10901.905220000001"/>
    <b v="1"/>
    <n v="9"/>
    <b v="0"/>
    <n v="6578.0765879999999"/>
    <n v="4135.5"/>
    <n v="8263"/>
    <s v="Overstock"/>
    <n v="6.5288356909684445E-2"/>
    <s v="Medium"/>
    <n v="40.377426740740745"/>
    <n v="0.50048408568316594"/>
    <s v="Optimal"/>
    <n v="0"/>
  </r>
  <r>
    <x v="821"/>
    <s v="South"/>
    <x v="3"/>
    <s v="Supplier C"/>
    <x v="1"/>
    <x v="0"/>
    <n v="935"/>
    <n v="3540"/>
    <n v="3289.0222659999999"/>
    <b v="1"/>
    <n v="28"/>
    <b v="1"/>
    <n v="66641.286840000001"/>
    <n v="1940"/>
    <n v="6415"/>
    <s v="Overstock"/>
    <n v="0.48195876288659795"/>
    <s v="Slow"/>
    <n v="3.5176708727272725"/>
    <n v="0.30241621200311769"/>
    <s v="Under Utilized"/>
    <n v="1"/>
  </r>
  <r>
    <x v="822"/>
    <s v="North"/>
    <x v="3"/>
    <s v="Supplier C"/>
    <x v="1"/>
    <x v="0"/>
    <n v="879"/>
    <n v="340"/>
    <n v="14406.721509999999"/>
    <b v="1"/>
    <n v="17"/>
    <b v="0"/>
    <n v="105558.6146"/>
    <n v="2222.5"/>
    <n v="7675"/>
    <s v="Understock"/>
    <n v="0.39550056242969628"/>
    <s v="Slow"/>
    <n v="16.389899328782707"/>
    <n v="0.28957654723127035"/>
    <s v="Under Utilized"/>
    <n v="0"/>
  </r>
  <r>
    <x v="823"/>
    <s v="West"/>
    <x v="1"/>
    <s v="Supplier A"/>
    <x v="1"/>
    <x v="1"/>
    <n v="476"/>
    <n v="4105"/>
    <n v="13288.645549999999"/>
    <b v="1"/>
    <n v="27"/>
    <b v="0"/>
    <n v="49146.161229999998"/>
    <n v="3392"/>
    <n v="8570"/>
    <s v="Overstock"/>
    <n v="0.14033018867924529"/>
    <s v="Slow"/>
    <n v="27.917322584033613"/>
    <n v="0.39579929988331386"/>
    <s v="Under Utilized"/>
    <n v="0"/>
  </r>
  <r>
    <x v="824"/>
    <s v="West"/>
    <x v="1"/>
    <s v="Supplier D"/>
    <x v="0"/>
    <x v="0"/>
    <n v="702"/>
    <n v="2679"/>
    <n v="9518.7214559999993"/>
    <b v="1"/>
    <n v="23"/>
    <b v="0"/>
    <n v="94065.326360000006"/>
    <n v="2989"/>
    <n v="8497"/>
    <s v="Understock"/>
    <n v="0.23486115757778522"/>
    <s v="Slow"/>
    <n v="13.559432273504273"/>
    <n v="0.35177121336942452"/>
    <s v="Under Utilized"/>
    <n v="0"/>
  </r>
  <r>
    <x v="825"/>
    <s v="North"/>
    <x v="0"/>
    <s v="Supplier D"/>
    <x v="1"/>
    <x v="2"/>
    <n v="83"/>
    <n v="3299"/>
    <n v="3004.9729659999998"/>
    <b v="1"/>
    <n v="25"/>
    <b v="0"/>
    <n v="11747.32987"/>
    <n v="3334"/>
    <n v="8824"/>
    <s v="Understock"/>
    <n v="2.4895020995800841E-2"/>
    <s v="Slow"/>
    <n v="36.204493566265057"/>
    <n v="0.37783318223028106"/>
    <s v="Under Utilized"/>
    <n v="0"/>
  </r>
  <r>
    <x v="826"/>
    <s v="West"/>
    <x v="3"/>
    <s v="Supplier D"/>
    <x v="1"/>
    <x v="2"/>
    <n v="520"/>
    <n v="3369"/>
    <n v="5506.3360050000001"/>
    <b v="1"/>
    <n v="29"/>
    <b v="0"/>
    <n v="61093.335319999998"/>
    <n v="3103.5"/>
    <n v="6027"/>
    <s v="Overstock"/>
    <n v="0.16755276300950539"/>
    <s v="Slow"/>
    <n v="10.589107701923076"/>
    <n v="0.51493280238924843"/>
    <s v="Optimal"/>
    <n v="0"/>
  </r>
  <r>
    <x v="827"/>
    <s v="South"/>
    <x v="3"/>
    <s v="Supplier D"/>
    <x v="0"/>
    <x v="0"/>
    <n v="836"/>
    <n v="2838"/>
    <n v="7020.3161689999997"/>
    <b v="1"/>
    <n v="10"/>
    <b v="0"/>
    <n v="68049.136369999993"/>
    <n v="2402.5"/>
    <n v="8806"/>
    <s v="Overstock"/>
    <n v="0.34797086368366287"/>
    <s v="Medium"/>
    <n v="8.3975073791866031"/>
    <n v="0.27282534635475814"/>
    <s v="Under Utilized"/>
    <n v="0"/>
  </r>
  <r>
    <x v="828"/>
    <s v="West"/>
    <x v="0"/>
    <s v="Supplier A"/>
    <x v="0"/>
    <x v="0"/>
    <n v="94"/>
    <n v="1967"/>
    <n v="4518.5931019999998"/>
    <b v="1"/>
    <n v="15"/>
    <b v="0"/>
    <n v="10043.99461"/>
    <n v="2317.5"/>
    <n v="5621"/>
    <s v="Understock"/>
    <n v="4.0560949298813376E-2"/>
    <s v="Slow"/>
    <n v="48.070139382978724"/>
    <n v="0.41229318626578898"/>
    <s v="Optimal"/>
    <n v="0"/>
  </r>
  <r>
    <x v="829"/>
    <s v="West"/>
    <x v="3"/>
    <s v="Supplier C"/>
    <x v="1"/>
    <x v="1"/>
    <n v="79"/>
    <n v="2668"/>
    <n v="9833.9371919999994"/>
    <b v="0"/>
    <n v="10"/>
    <b v="0"/>
    <n v="4584.473234"/>
    <n v="2318.5"/>
    <n v="7288"/>
    <s v="Overstock"/>
    <n v="3.4073754582704334E-2"/>
    <s v="Medium"/>
    <n v="124.48021762025316"/>
    <n v="0.31812568605927555"/>
    <s v="Under Utilized"/>
    <n v="0"/>
  </r>
  <r>
    <x v="830"/>
    <s v="East"/>
    <x v="3"/>
    <s v="Supplier A"/>
    <x v="0"/>
    <x v="2"/>
    <n v="917"/>
    <n v="1969"/>
    <n v="917.61711790000004"/>
    <b v="1"/>
    <n v="15"/>
    <b v="1"/>
    <n v="85683.549429999999"/>
    <n v="2295"/>
    <n v="6120"/>
    <s v="Understock"/>
    <n v="0.39956427015250545"/>
    <s v="Slow"/>
    <n v="1.0006729748091603"/>
    <n v="0.375"/>
    <s v="Under Utilized"/>
    <n v="1"/>
  </r>
  <r>
    <x v="831"/>
    <s v="East"/>
    <x v="1"/>
    <s v="Supplier A"/>
    <x v="1"/>
    <x v="0"/>
    <n v="999"/>
    <n v="2621"/>
    <n v="9588.1725320000005"/>
    <b v="1"/>
    <n v="28"/>
    <b v="0"/>
    <n v="107872.30959999999"/>
    <n v="2842.5"/>
    <n v="5152"/>
    <s v="Understock"/>
    <n v="0.35145118733509234"/>
    <s v="Slow"/>
    <n v="9.5977703023023029"/>
    <n v="0.55172748447204967"/>
    <s v="Optimal"/>
    <n v="0"/>
  </r>
  <r>
    <x v="832"/>
    <s v="South"/>
    <x v="0"/>
    <s v="Supplier C"/>
    <x v="1"/>
    <x v="2"/>
    <n v="195"/>
    <n v="3064"/>
    <n v="2739.0284839999999"/>
    <b v="1"/>
    <n v="2"/>
    <b v="0"/>
    <n v="25200.77925"/>
    <n v="2492"/>
    <n v="6030"/>
    <s v="Overstock"/>
    <n v="7.825040128410915E-2"/>
    <s v="Fast"/>
    <n v="14.046299917948717"/>
    <n v="0.41326699834162522"/>
    <s v="Optimal"/>
    <n v="0"/>
  </r>
  <r>
    <x v="833"/>
    <s v="South"/>
    <x v="2"/>
    <s v="Supplier B"/>
    <x v="1"/>
    <x v="0"/>
    <n v="833"/>
    <n v="1920"/>
    <n v="13698.1415"/>
    <b v="1"/>
    <n v="26"/>
    <b v="0"/>
    <n v="96464.936319999993"/>
    <n v="2215"/>
    <n v="5905"/>
    <s v="Understock"/>
    <n v="0.37607223476297968"/>
    <s v="Slow"/>
    <n v="16.444347539015606"/>
    <n v="0.37510584250635054"/>
    <s v="Under Utilized"/>
    <n v="0"/>
  </r>
  <r>
    <x v="834"/>
    <s v="East"/>
    <x v="1"/>
    <s v="Supplier D"/>
    <x v="1"/>
    <x v="0"/>
    <n v="273"/>
    <n v="2510"/>
    <n v="4107.5574239999996"/>
    <b v="1"/>
    <n v="22"/>
    <b v="0"/>
    <n v="18667.912990000001"/>
    <n v="1330.5"/>
    <n v="7283"/>
    <s v="Overstock"/>
    <n v="0.20518602029312288"/>
    <s v="Slow"/>
    <n v="15.045997890109888"/>
    <n v="0.18268570643965398"/>
    <s v="Under Utilized"/>
    <n v="0"/>
  </r>
  <r>
    <x v="835"/>
    <s v="East"/>
    <x v="1"/>
    <s v="Supplier A"/>
    <x v="1"/>
    <x v="2"/>
    <n v="967"/>
    <n v="151"/>
    <n v="10866.81594"/>
    <b v="1"/>
    <n v="9"/>
    <b v="0"/>
    <n v="72009.190090000004"/>
    <n v="2069.5"/>
    <n v="7420"/>
    <s v="Understock"/>
    <n v="0.46726262382217926"/>
    <s v="Medium"/>
    <n v="11.237658676318512"/>
    <n v="0.27890835579514822"/>
    <s v="Under Utilized"/>
    <n v="0"/>
  </r>
  <r>
    <x v="836"/>
    <s v="South"/>
    <x v="3"/>
    <s v="Supplier A"/>
    <x v="0"/>
    <x v="2"/>
    <n v="947"/>
    <n v="3988"/>
    <n v="12297.327789999999"/>
    <b v="0"/>
    <n v="23"/>
    <b v="1"/>
    <n v="64196.996570000003"/>
    <n v="2140"/>
    <n v="7699"/>
    <s v="Overstock"/>
    <n v="0.44252336448598129"/>
    <s v="Slow"/>
    <n v="12.985562608236537"/>
    <n v="0.27795817638654369"/>
    <s v="Under Utilized"/>
    <n v="1"/>
  </r>
  <r>
    <x v="837"/>
    <s v="North"/>
    <x v="0"/>
    <s v="Supplier C"/>
    <x v="0"/>
    <x v="0"/>
    <n v="213"/>
    <n v="292"/>
    <n v="13419.814399999999"/>
    <b v="0"/>
    <n v="29"/>
    <b v="0"/>
    <n v="20219.44672"/>
    <n v="1984.5"/>
    <n v="5781"/>
    <s v="Understock"/>
    <n v="0.10733182161753591"/>
    <s v="Slow"/>
    <n v="63.003823474178404"/>
    <n v="0.34327970939283858"/>
    <s v="Under Utilized"/>
    <n v="0"/>
  </r>
  <r>
    <x v="838"/>
    <s v="North"/>
    <x v="0"/>
    <s v="Supplier A"/>
    <x v="1"/>
    <x v="0"/>
    <n v="880"/>
    <n v="3677"/>
    <n v="6159.2854349999998"/>
    <b v="1"/>
    <n v="2"/>
    <b v="0"/>
    <n v="170526.0478"/>
    <n v="4171"/>
    <n v="9009"/>
    <s v="Understock"/>
    <n v="0.21098058019659555"/>
    <s v="Fast"/>
    <n v="6.9991879943181816"/>
    <n v="0.46298146298146298"/>
    <s v="Optimal"/>
    <n v="0"/>
  </r>
  <r>
    <x v="839"/>
    <s v="West"/>
    <x v="1"/>
    <s v="Supplier B"/>
    <x v="2"/>
    <x v="0"/>
    <n v="887"/>
    <n v="4665"/>
    <n v="5499.1616199999999"/>
    <b v="1"/>
    <n v="26"/>
    <b v="0"/>
    <n v="173979.8265"/>
    <n v="2455"/>
    <n v="9045"/>
    <s v="Overstock"/>
    <n v="0.36130346232179228"/>
    <s v="Slow"/>
    <n v="6.1997312514092444"/>
    <n v="0.27142067440574902"/>
    <s v="Under Utilized"/>
    <n v="0"/>
  </r>
  <r>
    <x v="840"/>
    <s v="East"/>
    <x v="1"/>
    <s v="Supplier C"/>
    <x v="0"/>
    <x v="1"/>
    <n v="330"/>
    <n v="245"/>
    <n v="12954.51907"/>
    <b v="1"/>
    <n v="1"/>
    <b v="0"/>
    <n v="35516.340369999998"/>
    <n v="1231.5"/>
    <n v="6093"/>
    <s v="Understock"/>
    <n v="0.2679658952496955"/>
    <s v="Fast"/>
    <n v="39.256118393939396"/>
    <n v="0.20211718365337272"/>
    <s v="Under Utilized"/>
    <n v="0"/>
  </r>
  <r>
    <x v="841"/>
    <s v="North"/>
    <x v="1"/>
    <s v="Supplier B"/>
    <x v="2"/>
    <x v="0"/>
    <n v="709"/>
    <n v="2218"/>
    <n v="9706.4810870000001"/>
    <b v="1"/>
    <n v="2"/>
    <b v="0"/>
    <n v="58595.608090000002"/>
    <n v="2088"/>
    <n v="9820"/>
    <s v="Overstock"/>
    <n v="0.33955938697318006"/>
    <s v="Fast"/>
    <n v="13.690382351198872"/>
    <n v="0.21262729124236251"/>
    <s v="Under Utilized"/>
    <n v="0"/>
  </r>
  <r>
    <x v="842"/>
    <s v="West"/>
    <x v="1"/>
    <s v="Supplier D"/>
    <x v="1"/>
    <x v="2"/>
    <n v="334"/>
    <n v="1958"/>
    <n v="998.84652259999996"/>
    <b v="1"/>
    <n v="11"/>
    <b v="0"/>
    <n v="25466.798169999998"/>
    <n v="2918.5"/>
    <n v="5202"/>
    <s v="Understock"/>
    <n v="0.1144423505225287"/>
    <s v="Medium"/>
    <n v="2.9905584508982033"/>
    <n v="0.56103421760861205"/>
    <s v="Optimal"/>
    <n v="0"/>
  </r>
  <r>
    <x v="843"/>
    <s v="South"/>
    <x v="3"/>
    <s v="Supplier A"/>
    <x v="1"/>
    <x v="2"/>
    <n v="360"/>
    <n v="3879"/>
    <n v="4848.1768920000004"/>
    <b v="1"/>
    <n v="2"/>
    <b v="0"/>
    <n v="49336.246630000001"/>
    <n v="2402"/>
    <n v="6134"/>
    <s v="Overstock"/>
    <n v="0.1498751040799334"/>
    <s v="Fast"/>
    <n v="13.467158033333334"/>
    <n v="0.39158787088359959"/>
    <s v="Under Utilized"/>
    <n v="0"/>
  </r>
  <r>
    <x v="844"/>
    <s v="East"/>
    <x v="2"/>
    <s v="Supplier C"/>
    <x v="0"/>
    <x v="2"/>
    <n v="76"/>
    <n v="925"/>
    <n v="8942.4430080000002"/>
    <b v="1"/>
    <n v="23"/>
    <b v="0"/>
    <n v="2995.4670179999998"/>
    <n v="1917"/>
    <n v="5741"/>
    <s v="Understock"/>
    <n v="3.9645279081898799E-2"/>
    <s v="Slow"/>
    <n v="117.66372378947369"/>
    <n v="0.33391395227312315"/>
    <s v="Under Utilized"/>
    <n v="0"/>
  </r>
  <r>
    <x v="845"/>
    <s v="West"/>
    <x v="0"/>
    <s v="Supplier D"/>
    <x v="0"/>
    <x v="1"/>
    <n v="214"/>
    <n v="2909"/>
    <n v="2353.2717429999998"/>
    <b v="1"/>
    <n v="26"/>
    <b v="0"/>
    <n v="6710.4071190000004"/>
    <n v="1753.5"/>
    <n v="5569"/>
    <s v="Overstock"/>
    <n v="0.12204163102366695"/>
    <s v="Slow"/>
    <n v="10.996596929906541"/>
    <n v="0.3148680193930688"/>
    <s v="Under Utilized"/>
    <n v="0"/>
  </r>
  <r>
    <x v="846"/>
    <s v="West"/>
    <x v="0"/>
    <s v="Supplier B"/>
    <x v="0"/>
    <x v="0"/>
    <n v="113"/>
    <n v="598"/>
    <n v="7750.4917759999998"/>
    <b v="1"/>
    <n v="20"/>
    <b v="1"/>
    <n v="14831.00843"/>
    <n v="1975.5"/>
    <n v="7183"/>
    <s v="Understock"/>
    <n v="5.7200708681346496E-2"/>
    <s v="Slow"/>
    <n v="68.588422796460179"/>
    <n v="0.27502436307949324"/>
    <s v="Under Utilized"/>
    <n v="1"/>
  </r>
  <r>
    <x v="847"/>
    <s v="North"/>
    <x v="1"/>
    <s v="Supplier C"/>
    <x v="0"/>
    <x v="0"/>
    <n v="70"/>
    <n v="3353"/>
    <n v="11416.28839"/>
    <b v="1"/>
    <n v="17"/>
    <b v="1"/>
    <n v="1613.0636469999999"/>
    <n v="2185.5"/>
    <n v="5796"/>
    <s v="Overstock"/>
    <n v="3.2029283916723862E-2"/>
    <s v="Slow"/>
    <n v="163.08983414285714"/>
    <n v="0.37707039337474119"/>
    <s v="Under Utilized"/>
    <n v="1"/>
  </r>
  <r>
    <x v="848"/>
    <s v="North"/>
    <x v="2"/>
    <s v="Supplier A"/>
    <x v="2"/>
    <x v="0"/>
    <n v="667"/>
    <n v="1018"/>
    <n v="5731.6915150000004"/>
    <b v="1"/>
    <n v="16"/>
    <b v="0"/>
    <n v="63299.192439999999"/>
    <n v="771.5"/>
    <n v="5188"/>
    <s v="Overstock"/>
    <n v="0.86454957874270899"/>
    <s v="Slow"/>
    <n v="8.5932406521739129"/>
    <n v="0.14870855821125675"/>
    <s v="Under Utilized"/>
    <n v="0"/>
  </r>
  <r>
    <x v="849"/>
    <s v="West"/>
    <x v="2"/>
    <s v="Supplier D"/>
    <x v="1"/>
    <x v="2"/>
    <n v="510"/>
    <n v="525"/>
    <n v="14764.15799"/>
    <b v="1"/>
    <n v="17"/>
    <b v="0"/>
    <n v="80604.075440000001"/>
    <n v="2454.5"/>
    <n v="7281"/>
    <s v="Understock"/>
    <n v="0.20778162558565899"/>
    <s v="Slow"/>
    <n v="28.949329392156862"/>
    <n v="0.33711028704848234"/>
    <s v="Under Utilized"/>
    <n v="0"/>
  </r>
  <r>
    <x v="850"/>
    <s v="East"/>
    <x v="0"/>
    <s v="Supplier B"/>
    <x v="2"/>
    <x v="0"/>
    <n v="836"/>
    <n v="4384"/>
    <n v="9361.552087"/>
    <b v="1"/>
    <n v="7"/>
    <b v="0"/>
    <n v="124913.9877"/>
    <n v="2389"/>
    <n v="8760"/>
    <s v="Overstock"/>
    <n v="0.34993721222268731"/>
    <s v="Fast"/>
    <n v="11.198028812200956"/>
    <n v="0.27271689497716894"/>
    <s v="Under Utilized"/>
    <n v="0"/>
  </r>
  <r>
    <x v="851"/>
    <s v="West"/>
    <x v="2"/>
    <s v="Supplier B"/>
    <x v="0"/>
    <x v="2"/>
    <n v="485"/>
    <n v="394"/>
    <n v="1416.154904"/>
    <b v="1"/>
    <n v="27"/>
    <b v="0"/>
    <n v="40081.565779999997"/>
    <n v="332"/>
    <n v="8604"/>
    <s v="Overstock"/>
    <n v="1.4608433734939759"/>
    <s v="Slow"/>
    <n v="2.9199070185567009"/>
    <n v="3.8586703858670385E-2"/>
    <s v="Under Utilized"/>
    <n v="0"/>
  </r>
  <r>
    <x v="852"/>
    <s v="West"/>
    <x v="1"/>
    <s v="Supplier A"/>
    <x v="1"/>
    <x v="2"/>
    <n v="991"/>
    <n v="270"/>
    <n v="7505.4523609999997"/>
    <b v="1"/>
    <n v="2"/>
    <b v="0"/>
    <n v="23596.72624"/>
    <n v="299"/>
    <n v="8465"/>
    <s v="Understock"/>
    <n v="3.3143812709030098"/>
    <s v="Fast"/>
    <n v="7.5736148950554991"/>
    <n v="3.5321913762551685E-2"/>
    <s v="Under Utilized"/>
    <n v="0"/>
  </r>
  <r>
    <x v="853"/>
    <s v="East"/>
    <x v="0"/>
    <s v="Supplier A"/>
    <x v="2"/>
    <x v="0"/>
    <n v="480"/>
    <n v="328"/>
    <n v="4935.474792"/>
    <b v="1"/>
    <n v="9"/>
    <b v="0"/>
    <n v="88122.396280000001"/>
    <n v="1724"/>
    <n v="5069"/>
    <s v="Understock"/>
    <n v="0.27842227378190254"/>
    <s v="Medium"/>
    <n v="10.282239150000001"/>
    <n v="0.3401065298875518"/>
    <s v="Under Utilized"/>
    <n v="0"/>
  </r>
  <r>
    <x v="854"/>
    <s v="East"/>
    <x v="0"/>
    <s v="Supplier B"/>
    <x v="0"/>
    <x v="1"/>
    <n v="277"/>
    <n v="3120"/>
    <n v="4033.7690729999999"/>
    <b v="1"/>
    <n v="24"/>
    <b v="0"/>
    <n v="18465.71315"/>
    <n v="2980.5"/>
    <n v="5656"/>
    <s v="Overstock"/>
    <n v="9.2937426606274118E-2"/>
    <s v="Slow"/>
    <n v="14.562343223826714"/>
    <n v="0.52696251768033942"/>
    <s v="Optimal"/>
    <n v="0"/>
  </r>
  <r>
    <x v="855"/>
    <s v="East"/>
    <x v="0"/>
    <s v="Supplier A"/>
    <x v="1"/>
    <x v="0"/>
    <n v="960"/>
    <n v="2841"/>
    <n v="11904.332850000001"/>
    <b v="1"/>
    <n v="5"/>
    <b v="0"/>
    <n v="119128.2727"/>
    <n v="3226"/>
    <n v="7833"/>
    <s v="Understock"/>
    <n v="0.29758214507129571"/>
    <s v="Fast"/>
    <n v="12.400346718750001"/>
    <n v="0.41184731265160218"/>
    <s v="Optimal"/>
    <n v="0"/>
  </r>
  <r>
    <x v="856"/>
    <s v="South"/>
    <x v="2"/>
    <s v="Supplier A"/>
    <x v="0"/>
    <x v="2"/>
    <n v="244"/>
    <n v="3611"/>
    <n v="11048.41763"/>
    <b v="0"/>
    <n v="21"/>
    <b v="0"/>
    <n v="32682.629529999998"/>
    <n v="2395"/>
    <n v="7188"/>
    <s v="Overstock"/>
    <n v="0.10187891440501044"/>
    <s v="Slow"/>
    <n v="45.280400122950816"/>
    <n v="0.33319421257651644"/>
    <s v="Under Utilized"/>
    <n v="0"/>
  </r>
  <r>
    <x v="857"/>
    <s v="East"/>
    <x v="0"/>
    <s v="Supplier C"/>
    <x v="0"/>
    <x v="0"/>
    <n v="846"/>
    <n v="1179"/>
    <n v="10040.267540000001"/>
    <b v="1"/>
    <n v="27"/>
    <b v="0"/>
    <n v="96582.253589999993"/>
    <n v="2923"/>
    <n v="7813"/>
    <s v="Understock"/>
    <n v="0.28942866917550464"/>
    <s v="Slow"/>
    <n v="11.867928534278962"/>
    <n v="0.37412005631639578"/>
    <s v="Under Utilized"/>
    <n v="0"/>
  </r>
  <r>
    <x v="858"/>
    <s v="West"/>
    <x v="1"/>
    <s v="Supplier B"/>
    <x v="0"/>
    <x v="2"/>
    <n v="342"/>
    <n v="4667"/>
    <n v="2582.509982"/>
    <b v="1"/>
    <n v="15"/>
    <b v="0"/>
    <n v="14781.497009999999"/>
    <n v="3844"/>
    <n v="5035"/>
    <s v="Overstock"/>
    <n v="8.8969823100936526E-2"/>
    <s v="Slow"/>
    <n v="7.5511987777777776"/>
    <n v="0.7634558093346574"/>
    <s v="Optimal"/>
    <n v="0"/>
  </r>
  <r>
    <x v="859"/>
    <s v="East"/>
    <x v="1"/>
    <s v="Supplier B"/>
    <x v="0"/>
    <x v="1"/>
    <n v="430"/>
    <n v="3021"/>
    <n v="768.7028871"/>
    <b v="1"/>
    <n v="4"/>
    <b v="0"/>
    <n v="34684.016049999998"/>
    <n v="4009"/>
    <n v="9876"/>
    <s v="Understock"/>
    <n v="0.10725866799700673"/>
    <s v="Fast"/>
    <n v="1.7876811327906976"/>
    <n v="0.40593357634669908"/>
    <s v="Optimal"/>
    <n v="0"/>
  </r>
  <r>
    <x v="860"/>
    <s v="West"/>
    <x v="2"/>
    <s v="Supplier B"/>
    <x v="0"/>
    <x v="0"/>
    <n v="173"/>
    <n v="4997"/>
    <n v="1288.0474260000001"/>
    <b v="1"/>
    <n v="20"/>
    <b v="1"/>
    <n v="6161.3254889999998"/>
    <n v="3731"/>
    <n v="6383"/>
    <s v="Overstock"/>
    <n v="4.6368265880461002E-2"/>
    <s v="Slow"/>
    <n v="7.4453608439306365"/>
    <n v="0.58452138492871686"/>
    <s v="Optimal"/>
    <n v="1"/>
  </r>
  <r>
    <x v="861"/>
    <s v="West"/>
    <x v="3"/>
    <s v="Supplier D"/>
    <x v="0"/>
    <x v="0"/>
    <n v="229"/>
    <n v="2465"/>
    <n v="2497.1444339999998"/>
    <b v="1"/>
    <n v="4"/>
    <b v="0"/>
    <n v="12501.360060000001"/>
    <n v="3109"/>
    <n v="7119"/>
    <s v="Understock"/>
    <n v="7.3657124477323893E-2"/>
    <s v="Fast"/>
    <n v="10.904560847161571"/>
    <n v="0.43671864025846324"/>
    <s v="Optimal"/>
    <n v="0"/>
  </r>
  <r>
    <x v="862"/>
    <s v="East"/>
    <x v="3"/>
    <s v="Supplier B"/>
    <x v="2"/>
    <x v="0"/>
    <n v="120"/>
    <n v="3753"/>
    <n v="13638.463470000001"/>
    <b v="1"/>
    <n v="23"/>
    <b v="0"/>
    <n v="23792.087680000001"/>
    <n v="4088"/>
    <n v="5749"/>
    <s v="Understock"/>
    <n v="2.9354207436399216E-2"/>
    <s v="Slow"/>
    <n v="113.65386225"/>
    <n v="0.71108018785875804"/>
    <s v="Optimal"/>
    <n v="0"/>
  </r>
  <r>
    <x v="863"/>
    <s v="North"/>
    <x v="2"/>
    <s v="Supplier C"/>
    <x v="2"/>
    <x v="0"/>
    <n v="831"/>
    <n v="4423"/>
    <n v="10779.98187"/>
    <b v="1"/>
    <n v="7"/>
    <b v="0"/>
    <n v="139036.66800000001"/>
    <n v="4016.5"/>
    <n v="6594"/>
    <s v="Overstock"/>
    <n v="0.20689655172413793"/>
    <s v="Fast"/>
    <n v="12.972300685920578"/>
    <n v="0.60911434637549289"/>
    <s v="Optimal"/>
    <n v="0"/>
  </r>
  <r>
    <x v="864"/>
    <s v="West"/>
    <x v="3"/>
    <s v="Supplier B"/>
    <x v="0"/>
    <x v="2"/>
    <n v="449"/>
    <n v="3610"/>
    <n v="7961.1459599999998"/>
    <b v="1"/>
    <n v="28"/>
    <b v="0"/>
    <n v="81706.465519999998"/>
    <n v="2419"/>
    <n v="6625"/>
    <s v="Overstock"/>
    <n v="0.18561389003720546"/>
    <s v="Slow"/>
    <n v="17.730837327394209"/>
    <n v="0.36513207547169813"/>
    <s v="Under Utilized"/>
    <n v="0"/>
  </r>
  <r>
    <x v="865"/>
    <s v="South"/>
    <x v="1"/>
    <s v="Supplier D"/>
    <x v="0"/>
    <x v="2"/>
    <n v="712"/>
    <n v="1228"/>
    <n v="6574.473747"/>
    <b v="1"/>
    <n v="22"/>
    <b v="0"/>
    <n v="109451.18150000001"/>
    <n v="1740.5"/>
    <n v="5711"/>
    <s v="Understock"/>
    <n v="0.40907785119218615"/>
    <s v="Slow"/>
    <n v="9.23381144241573"/>
    <n v="0.30476273857468045"/>
    <s v="Under Utilized"/>
    <n v="0"/>
  </r>
  <r>
    <x v="866"/>
    <s v="East"/>
    <x v="2"/>
    <s v="Supplier D"/>
    <x v="1"/>
    <x v="0"/>
    <n v="975"/>
    <n v="2253"/>
    <n v="6291.7680460000001"/>
    <b v="1"/>
    <n v="25"/>
    <b v="0"/>
    <n v="173479.22839999999"/>
    <n v="2342"/>
    <n v="6509"/>
    <s v="Understock"/>
    <n v="0.41631084543125535"/>
    <s v="Slow"/>
    <n v="6.4530954317948721"/>
    <n v="0.35980949454601319"/>
    <s v="Under Utilized"/>
    <n v="0"/>
  </r>
  <r>
    <x v="867"/>
    <s v="West"/>
    <x v="3"/>
    <s v="Supplier D"/>
    <x v="2"/>
    <x v="0"/>
    <n v="662"/>
    <n v="2431"/>
    <n v="1841.6640379999999"/>
    <b v="1"/>
    <n v="5"/>
    <b v="0"/>
    <n v="42228.420749999997"/>
    <n v="2369.5"/>
    <n v="5213"/>
    <s v="Overstock"/>
    <n v="0.2793838362523739"/>
    <s v="Fast"/>
    <n v="2.7819698459214499"/>
    <n v="0.45453673508536352"/>
    <s v="Optimal"/>
    <n v="0"/>
  </r>
  <r>
    <x v="868"/>
    <s v="North"/>
    <x v="3"/>
    <s v="Supplier B"/>
    <x v="2"/>
    <x v="0"/>
    <n v="125"/>
    <n v="2308"/>
    <n v="4279.5939950000002"/>
    <b v="1"/>
    <n v="4"/>
    <b v="0"/>
    <n v="12687.28291"/>
    <n v="1987.5"/>
    <n v="9055"/>
    <s v="Overstock"/>
    <n v="6.2893081761006289E-2"/>
    <s v="Fast"/>
    <n v="34.236751959999999"/>
    <n v="0.2194919933738266"/>
    <s v="Under Utilized"/>
    <n v="0"/>
  </r>
  <r>
    <x v="869"/>
    <s v="North"/>
    <x v="3"/>
    <s v="Supplier C"/>
    <x v="0"/>
    <x v="0"/>
    <n v="224"/>
    <n v="1667"/>
    <n v="3454.4545450000001"/>
    <b v="1"/>
    <n v="8"/>
    <b v="0"/>
    <n v="32816.53398"/>
    <n v="1936.5"/>
    <n v="5099"/>
    <s v="Understock"/>
    <n v="0.11567260521559515"/>
    <s v="Medium"/>
    <n v="15.421672075892857"/>
    <n v="0.37978034908805647"/>
    <s v="Under Utilized"/>
    <n v="0"/>
  </r>
  <r>
    <x v="870"/>
    <s v="West"/>
    <x v="0"/>
    <s v="Supplier A"/>
    <x v="1"/>
    <x v="1"/>
    <n v="910"/>
    <n v="2206"/>
    <n v="11835.07034"/>
    <b v="1"/>
    <n v="6"/>
    <b v="0"/>
    <n v="117877.9746"/>
    <n v="2006"/>
    <n v="8383"/>
    <s v="Overstock"/>
    <n v="0.45363908275174475"/>
    <s v="Fast"/>
    <n v="13.005571802197803"/>
    <n v="0.23929380889896218"/>
    <s v="Under Utilized"/>
    <n v="0"/>
  </r>
  <r>
    <x v="871"/>
    <s v="West"/>
    <x v="3"/>
    <s v="Supplier C"/>
    <x v="0"/>
    <x v="0"/>
    <n v="679"/>
    <n v="1806"/>
    <n v="3591.4570050000002"/>
    <b v="1"/>
    <n v="19"/>
    <b v="0"/>
    <n v="28425.424299999999"/>
    <n v="2529.5"/>
    <n v="5856"/>
    <s v="Understock"/>
    <n v="0.26843249654081835"/>
    <s v="Slow"/>
    <n v="5.289332849779087"/>
    <n v="0.43195013661202186"/>
    <s v="Optimal"/>
    <n v="0"/>
  </r>
  <r>
    <x v="872"/>
    <s v="East"/>
    <x v="2"/>
    <s v="Supplier A"/>
    <x v="1"/>
    <x v="2"/>
    <n v="845"/>
    <n v="3253"/>
    <n v="8065.1345730000003"/>
    <b v="1"/>
    <n v="1"/>
    <b v="0"/>
    <n v="127592.9106"/>
    <n v="2762.5"/>
    <n v="5540"/>
    <s v="Overstock"/>
    <n v="0.30588235294117649"/>
    <s v="Fast"/>
    <n v="9.5445379562130181"/>
    <n v="0.49864620938628157"/>
    <s v="Optimal"/>
    <n v="0"/>
  </r>
  <r>
    <x v="873"/>
    <s v="East"/>
    <x v="1"/>
    <s v="Supplier D"/>
    <x v="0"/>
    <x v="0"/>
    <n v="853"/>
    <n v="2272"/>
    <n v="11148.075510000001"/>
    <b v="1"/>
    <n v="28"/>
    <b v="0"/>
    <n v="99499.197560000001"/>
    <n v="2851.5"/>
    <n v="8659"/>
    <s v="Understock"/>
    <n v="0.29914080308609503"/>
    <s v="Slow"/>
    <n v="13.069256166471279"/>
    <n v="0.32931054394271858"/>
    <s v="Under Utilized"/>
    <n v="0"/>
  </r>
  <r>
    <x v="874"/>
    <s v="South"/>
    <x v="1"/>
    <s v="Supplier B"/>
    <x v="0"/>
    <x v="2"/>
    <n v="769"/>
    <n v="3431"/>
    <n v="1395.554601"/>
    <b v="1"/>
    <n v="13"/>
    <b v="0"/>
    <n v="142000.23499999999"/>
    <n v="1873"/>
    <n v="5257"/>
    <s v="Overstock"/>
    <n v="0.41057127602776294"/>
    <s v="Medium"/>
    <n v="1.8147654109232771"/>
    <n v="0.35628685562107665"/>
    <s v="Under Utilized"/>
    <n v="0"/>
  </r>
  <r>
    <x v="875"/>
    <s v="South"/>
    <x v="2"/>
    <s v="Supplier A"/>
    <x v="1"/>
    <x v="0"/>
    <n v="139"/>
    <n v="315"/>
    <n v="5492.4664830000002"/>
    <b v="1"/>
    <n v="12"/>
    <b v="0"/>
    <n v="23326.429090000001"/>
    <n v="463.5"/>
    <n v="7419"/>
    <s v="Understock"/>
    <n v="0.29989212513484359"/>
    <s v="Medium"/>
    <n v="39.514147359712233"/>
    <n v="6.2474727052163365E-2"/>
    <s v="Under Utilized"/>
    <n v="0"/>
  </r>
  <r>
    <x v="876"/>
    <s v="South"/>
    <x v="2"/>
    <s v="Supplier C"/>
    <x v="1"/>
    <x v="0"/>
    <n v="886"/>
    <n v="612"/>
    <n v="14833.11203"/>
    <b v="1"/>
    <n v="25"/>
    <b v="0"/>
    <n v="47658.873480000002"/>
    <n v="1543"/>
    <n v="6605"/>
    <s v="Understock"/>
    <n v="0.57420609202851591"/>
    <s v="Slow"/>
    <n v="16.741661433408577"/>
    <n v="0.2336109008327025"/>
    <s v="Under Utilized"/>
    <n v="0"/>
  </r>
  <r>
    <x v="877"/>
    <s v="West"/>
    <x v="2"/>
    <s v="Supplier D"/>
    <x v="1"/>
    <x v="0"/>
    <n v="569"/>
    <n v="2474"/>
    <n v="9637.5387310000006"/>
    <b v="1"/>
    <n v="25"/>
    <b v="0"/>
    <n v="46306.970679999999"/>
    <n v="2103"/>
    <n v="5035"/>
    <s v="Overstock"/>
    <n v="0.27056585829766999"/>
    <s v="Slow"/>
    <n v="16.937677910369068"/>
    <n v="0.41767626613704073"/>
    <s v="Optimal"/>
    <n v="0"/>
  </r>
  <r>
    <x v="878"/>
    <s v="North"/>
    <x v="2"/>
    <s v="Supplier A"/>
    <x v="0"/>
    <x v="0"/>
    <n v="853"/>
    <n v="1732"/>
    <n v="11665.30781"/>
    <b v="1"/>
    <n v="19"/>
    <b v="0"/>
    <n v="38082.516239999997"/>
    <n v="2378.5"/>
    <n v="9887"/>
    <s v="Understock"/>
    <n v="0.35862938826991803"/>
    <s v="Slow"/>
    <n v="13.675624630715124"/>
    <n v="0.24056842318195609"/>
    <s v="Under Utilized"/>
    <n v="0"/>
  </r>
  <r>
    <x v="879"/>
    <s v="West"/>
    <x v="3"/>
    <s v="Supplier B"/>
    <x v="2"/>
    <x v="0"/>
    <n v="425"/>
    <n v="3025"/>
    <n v="1717.4571699999999"/>
    <b v="1"/>
    <n v="25"/>
    <b v="0"/>
    <n v="47670.418830000002"/>
    <n v="2711.5"/>
    <n v="6691"/>
    <s v="Overstock"/>
    <n v="0.15673981191222572"/>
    <s v="Slow"/>
    <n v="4.0410756941176471"/>
    <n v="0.40524585263787177"/>
    <s v="Optimal"/>
    <n v="0"/>
  </r>
  <r>
    <x v="880"/>
    <s v="South"/>
    <x v="2"/>
    <s v="Supplier B"/>
    <x v="2"/>
    <x v="2"/>
    <n v="514"/>
    <n v="2398"/>
    <n v="3933.564989"/>
    <b v="1"/>
    <n v="22"/>
    <b v="0"/>
    <n v="53373.058490000003"/>
    <n v="1971.5"/>
    <n v="5942"/>
    <s v="Overstock"/>
    <n v="0.26071519147856964"/>
    <s v="Slow"/>
    <n v="7.6528501731517506"/>
    <n v="0.33179064288118476"/>
    <s v="Under Utilized"/>
    <n v="0"/>
  </r>
  <r>
    <x v="881"/>
    <s v="East"/>
    <x v="0"/>
    <s v="Supplier C"/>
    <x v="2"/>
    <x v="1"/>
    <n v="302"/>
    <n v="1545"/>
    <n v="10343.866389999999"/>
    <b v="1"/>
    <n v="27"/>
    <b v="0"/>
    <n v="44067.237589999997"/>
    <n v="2948.5"/>
    <n v="5762"/>
    <s v="Understock"/>
    <n v="0.10242496184500594"/>
    <s v="Slow"/>
    <n v="34.251213211920529"/>
    <n v="0.51171468240194373"/>
    <s v="Optimal"/>
    <n v="0"/>
  </r>
  <r>
    <x v="882"/>
    <s v="North"/>
    <x v="1"/>
    <s v="Supplier C"/>
    <x v="1"/>
    <x v="2"/>
    <n v="112"/>
    <n v="4352"/>
    <n v="6498.7374630000004"/>
    <b v="1"/>
    <n v="12"/>
    <b v="0"/>
    <n v="20079.06234"/>
    <n v="2957"/>
    <n v="6806"/>
    <s v="Overstock"/>
    <n v="3.7876225904633076E-2"/>
    <s v="Medium"/>
    <n v="58.024441633928575"/>
    <n v="0.434469585659712"/>
    <s v="Optimal"/>
    <n v="0"/>
  </r>
  <r>
    <x v="883"/>
    <s v="East"/>
    <x v="1"/>
    <s v="Supplier B"/>
    <x v="2"/>
    <x v="1"/>
    <n v="66"/>
    <n v="1562"/>
    <n v="1613.5374220000001"/>
    <b v="1"/>
    <n v="8"/>
    <b v="1"/>
    <n v="11925.78141"/>
    <n v="2191.5"/>
    <n v="5731"/>
    <s v="Understock"/>
    <n v="3.0116358658453114E-2"/>
    <s v="Medium"/>
    <n v="24.447536696969699"/>
    <n v="0.38239399755714537"/>
    <s v="Under Utilized"/>
    <n v="1"/>
  </r>
  <r>
    <x v="884"/>
    <s v="West"/>
    <x v="3"/>
    <s v="Supplier C"/>
    <x v="2"/>
    <x v="0"/>
    <n v="604"/>
    <n v="2821"/>
    <n v="12179.69267"/>
    <b v="1"/>
    <n v="1"/>
    <b v="0"/>
    <n v="81959.350130000006"/>
    <n v="2790"/>
    <n v="5540"/>
    <s v="Overstock"/>
    <n v="0.21648745519713261"/>
    <s v="Fast"/>
    <n v="20.165054089403974"/>
    <n v="0.50361010830324915"/>
    <s v="Optimal"/>
    <n v="0"/>
  </r>
  <r>
    <x v="885"/>
    <s v="East"/>
    <x v="0"/>
    <s v="Supplier B"/>
    <x v="1"/>
    <x v="0"/>
    <n v="815"/>
    <n v="2759"/>
    <n v="602.12226209999994"/>
    <b v="1"/>
    <n v="3"/>
    <b v="0"/>
    <n v="20033.09592"/>
    <n v="1561.5"/>
    <n v="8743"/>
    <s v="Overstock"/>
    <n v="0.5219340377841819"/>
    <s v="Fast"/>
    <n v="0.7388003215950919"/>
    <n v="0.17860002287544322"/>
    <s v="Under Utilized"/>
    <n v="0"/>
  </r>
  <r>
    <x v="886"/>
    <s v="East"/>
    <x v="2"/>
    <s v="Supplier D"/>
    <x v="2"/>
    <x v="2"/>
    <n v="190"/>
    <n v="364"/>
    <n v="3071.594744"/>
    <b v="1"/>
    <n v="15"/>
    <b v="0"/>
    <n v="16378.31832"/>
    <n v="956.5"/>
    <n v="9338"/>
    <s v="Understock"/>
    <n v="0.19864087820177731"/>
    <s v="Slow"/>
    <n v="16.166288126315788"/>
    <n v="0.10243092739344613"/>
    <s v="Under Utilized"/>
    <n v="0"/>
  </r>
  <r>
    <x v="887"/>
    <s v="West"/>
    <x v="2"/>
    <s v="Supplier B"/>
    <x v="2"/>
    <x v="2"/>
    <n v="61"/>
    <n v="1549"/>
    <n v="13732.77289"/>
    <b v="1"/>
    <n v="5"/>
    <b v="0"/>
    <n v="2500.3005710000002"/>
    <n v="1692.5"/>
    <n v="9268"/>
    <s v="Understock"/>
    <n v="3.604135893648449E-2"/>
    <s v="Fast"/>
    <n v="225.12742442622951"/>
    <n v="0.18261760897712559"/>
    <s v="Under Utilized"/>
    <n v="0"/>
  </r>
  <r>
    <x v="888"/>
    <s v="East"/>
    <x v="1"/>
    <s v="Supplier C"/>
    <x v="0"/>
    <x v="0"/>
    <n v="941"/>
    <n v="1836"/>
    <n v="8904.1525469999997"/>
    <b v="1"/>
    <n v="1"/>
    <b v="0"/>
    <n v="98308.325110000005"/>
    <n v="2586"/>
    <n v="6555"/>
    <s v="Understock"/>
    <n v="0.36388244392884767"/>
    <s v="Fast"/>
    <n v="9.4624362879914976"/>
    <n v="0.39450800915331807"/>
    <s v="Under Utilized"/>
    <n v="0"/>
  </r>
  <r>
    <x v="889"/>
    <s v="West"/>
    <x v="1"/>
    <s v="Supplier B"/>
    <x v="1"/>
    <x v="0"/>
    <n v="624"/>
    <n v="3336"/>
    <n v="1169.8490059999999"/>
    <b v="1"/>
    <n v="28"/>
    <b v="1"/>
    <n v="82473.528179999994"/>
    <n v="2493.5"/>
    <n v="9607"/>
    <s v="Overstock"/>
    <n v="0.25025065169440547"/>
    <s v="Slow"/>
    <n v="1.8747580224358973"/>
    <n v="0.25955032788591653"/>
    <s v="Under Utilized"/>
    <n v="1"/>
  </r>
  <r>
    <x v="890"/>
    <s v="South"/>
    <x v="0"/>
    <s v="Supplier D"/>
    <x v="0"/>
    <x v="0"/>
    <n v="991"/>
    <n v="1651"/>
    <n v="3022.4328719999999"/>
    <b v="1"/>
    <n v="19"/>
    <b v="1"/>
    <n v="73261.337899999999"/>
    <n v="2741"/>
    <n v="8574"/>
    <s v="Understock"/>
    <n v="0.3615468807004743"/>
    <s v="Slow"/>
    <n v="3.0498818082744701"/>
    <n v="0.31968742710520176"/>
    <s v="Under Utilized"/>
    <n v="1"/>
  </r>
  <r>
    <x v="891"/>
    <s v="West"/>
    <x v="0"/>
    <s v="Supplier D"/>
    <x v="0"/>
    <x v="2"/>
    <n v="936"/>
    <n v="3831"/>
    <n v="13094.01605"/>
    <b v="1"/>
    <n v="15"/>
    <b v="0"/>
    <n v="20669.68405"/>
    <n v="3285.5"/>
    <n v="8693"/>
    <s v="Overstock"/>
    <n v="0.28488814487901387"/>
    <s v="Slow"/>
    <n v="13.989333386752136"/>
    <n v="0.3779477740710917"/>
    <s v="Under Utilized"/>
    <n v="0"/>
  </r>
  <r>
    <x v="892"/>
    <s v="South"/>
    <x v="3"/>
    <s v="Supplier B"/>
    <x v="2"/>
    <x v="2"/>
    <n v="928"/>
    <n v="2740"/>
    <n v="14707.151260000001"/>
    <b v="1"/>
    <n v="26"/>
    <b v="0"/>
    <n v="184468.4823"/>
    <n v="1850.5"/>
    <n v="5642"/>
    <s v="Overstock"/>
    <n v="0.50148608484193458"/>
    <s v="Slow"/>
    <n v="15.848223340517242"/>
    <n v="0.32798652959943281"/>
    <s v="Under Utilized"/>
    <n v="0"/>
  </r>
  <r>
    <x v="893"/>
    <s v="West"/>
    <x v="0"/>
    <s v="Supplier A"/>
    <x v="1"/>
    <x v="0"/>
    <n v="752"/>
    <n v="961"/>
    <n v="14063.659949999999"/>
    <b v="1"/>
    <n v="18"/>
    <b v="0"/>
    <n v="85322.532089999993"/>
    <n v="1283"/>
    <n v="7075"/>
    <s v="Understock"/>
    <n v="0.58612626656274358"/>
    <s v="Slow"/>
    <n v="18.701675465425531"/>
    <n v="0.1813427561837456"/>
    <s v="Under Utilized"/>
    <n v="0"/>
  </r>
  <r>
    <x v="894"/>
    <s v="North"/>
    <x v="1"/>
    <s v="Supplier B"/>
    <x v="1"/>
    <x v="0"/>
    <n v="312"/>
    <n v="1605"/>
    <n v="13523.123449999999"/>
    <b v="1"/>
    <n v="26"/>
    <b v="0"/>
    <n v="54917.466370000002"/>
    <n v="1150.5"/>
    <n v="9022"/>
    <s v="Overstock"/>
    <n v="0.2711864406779661"/>
    <s v="Slow"/>
    <n v="43.343344391025639"/>
    <n v="0.12752161383285301"/>
    <s v="Under Utilized"/>
    <n v="0"/>
  </r>
  <r>
    <x v="895"/>
    <s v="South"/>
    <x v="1"/>
    <s v="Supplier D"/>
    <x v="2"/>
    <x v="1"/>
    <n v="121"/>
    <n v="696"/>
    <n v="1885.6070070000001"/>
    <b v="1"/>
    <n v="1"/>
    <b v="0"/>
    <n v="19190.43188"/>
    <n v="2510.5"/>
    <n v="5813"/>
    <s v="Understock"/>
    <n v="4.8197570205138415E-2"/>
    <s v="Fast"/>
    <n v="15.583528983471075"/>
    <n v="0.43187682779975917"/>
    <s v="Optimal"/>
    <n v="0"/>
  </r>
  <r>
    <x v="896"/>
    <s v="South"/>
    <x v="1"/>
    <s v="Supplier A"/>
    <x v="0"/>
    <x v="2"/>
    <n v="640"/>
    <n v="4325"/>
    <n v="7137.2853489999998"/>
    <b v="1"/>
    <n v="17"/>
    <b v="0"/>
    <n v="48649.502999999997"/>
    <n v="3487.5"/>
    <n v="8174"/>
    <s v="Overstock"/>
    <n v="0.18351254480286738"/>
    <s v="Slow"/>
    <n v="11.1520083578125"/>
    <n v="0.42665769513090285"/>
    <s v="Optimal"/>
    <n v="0"/>
  </r>
  <r>
    <x v="897"/>
    <s v="East"/>
    <x v="3"/>
    <s v="Supplier D"/>
    <x v="0"/>
    <x v="0"/>
    <n v="332"/>
    <n v="2650"/>
    <n v="4843.5666339999998"/>
    <b v="1"/>
    <n v="7"/>
    <b v="0"/>
    <n v="19076.653389999999"/>
    <n v="1595.5"/>
    <n v="7125"/>
    <s v="Overstock"/>
    <n v="0.20808523973675963"/>
    <s v="Fast"/>
    <n v="14.589056126506023"/>
    <n v="0.22392982456140351"/>
    <s v="Under Utilized"/>
    <n v="0"/>
  </r>
  <r>
    <x v="898"/>
    <s v="North"/>
    <x v="3"/>
    <s v="Supplier C"/>
    <x v="1"/>
    <x v="0"/>
    <n v="972"/>
    <n v="541"/>
    <n v="10368.129660000001"/>
    <b v="1"/>
    <n v="12"/>
    <b v="0"/>
    <n v="187293.0993"/>
    <n v="789.5"/>
    <n v="8885"/>
    <s v="Understock"/>
    <n v="1.2311589613679543"/>
    <s v="Medium"/>
    <n v="10.666800061728395"/>
    <n v="8.8857625211029828E-2"/>
    <s v="Under Utilized"/>
    <n v="0"/>
  </r>
  <r>
    <x v="899"/>
    <s v="North"/>
    <x v="1"/>
    <s v="Supplier A"/>
    <x v="0"/>
    <x v="0"/>
    <n v="876"/>
    <n v="1038"/>
    <n v="11974.76233"/>
    <b v="1"/>
    <n v="27"/>
    <b v="0"/>
    <n v="165131.83309999999"/>
    <n v="2168.5"/>
    <n v="9577"/>
    <s v="Understock"/>
    <n v="0.40396587502882175"/>
    <s v="Slow"/>
    <n v="13.669820011415524"/>
    <n v="0.22642790017750861"/>
    <s v="Under Utilized"/>
    <n v="0"/>
  </r>
  <r>
    <x v="900"/>
    <s v="West"/>
    <x v="1"/>
    <s v="Supplier B"/>
    <x v="0"/>
    <x v="0"/>
    <n v="523"/>
    <n v="3299"/>
    <n v="5077.9563820000003"/>
    <b v="1"/>
    <n v="10"/>
    <b v="1"/>
    <n v="68475.703850000005"/>
    <n v="3040"/>
    <n v="9521"/>
    <s v="Overstock"/>
    <n v="0.17203947368421052"/>
    <s v="Medium"/>
    <n v="9.7092856252390067"/>
    <n v="0.31929419178657703"/>
    <s v="Under Utilized"/>
    <n v="1"/>
  </r>
  <r>
    <x v="901"/>
    <s v="North"/>
    <x v="1"/>
    <s v="Supplier D"/>
    <x v="1"/>
    <x v="0"/>
    <n v="691"/>
    <n v="2781"/>
    <n v="5568.0806169999996"/>
    <b v="1"/>
    <n v="6"/>
    <b v="0"/>
    <n v="135161.32990000001"/>
    <n v="3218.5"/>
    <n v="8100"/>
    <s v="Understock"/>
    <n v="0.21469628709025942"/>
    <s v="Fast"/>
    <n v="8.0580037872648322"/>
    <n v="0.39734567901234569"/>
    <s v="Under Utilized"/>
    <n v="0"/>
  </r>
  <r>
    <x v="902"/>
    <s v="East"/>
    <x v="0"/>
    <s v="Supplier D"/>
    <x v="2"/>
    <x v="1"/>
    <n v="807"/>
    <n v="3656"/>
    <n v="2857.1374860000001"/>
    <b v="1"/>
    <n v="15"/>
    <b v="1"/>
    <n v="89444.159790000005"/>
    <n v="2400.5"/>
    <n v="5560"/>
    <s v="Overstock"/>
    <n v="0.33617996250781085"/>
    <s v="Slow"/>
    <n v="3.5404429814126397"/>
    <n v="0.43174460431654677"/>
    <s v="Optimal"/>
    <n v="1"/>
  </r>
  <r>
    <x v="903"/>
    <s v="South"/>
    <x v="0"/>
    <s v="Supplier D"/>
    <x v="1"/>
    <x v="0"/>
    <n v="949"/>
    <n v="1145"/>
    <n v="553.68489910000005"/>
    <b v="1"/>
    <n v="24"/>
    <b v="0"/>
    <n v="65143.912839999997"/>
    <n v="3048.5"/>
    <n v="9336"/>
    <s v="Understock"/>
    <n v="0.31130063965884863"/>
    <s v="Slow"/>
    <n v="0.58344035732349853"/>
    <n v="0.32653170522707797"/>
    <s v="Under Utilized"/>
    <n v="0"/>
  </r>
  <r>
    <x v="904"/>
    <s v="West"/>
    <x v="2"/>
    <s v="Supplier B"/>
    <x v="1"/>
    <x v="0"/>
    <n v="382"/>
    <n v="4952"/>
    <n v="4435.7475320000003"/>
    <b v="1"/>
    <n v="18"/>
    <b v="0"/>
    <n v="21548.578969999999"/>
    <n v="3848"/>
    <n v="8606"/>
    <s v="Overstock"/>
    <n v="9.9272349272349278E-2"/>
    <s v="Slow"/>
    <n v="11.611904534031414"/>
    <n v="0.44712990936555891"/>
    <s v="Optimal"/>
    <n v="0"/>
  </r>
  <r>
    <x v="905"/>
    <s v="South"/>
    <x v="3"/>
    <s v="Supplier D"/>
    <x v="1"/>
    <x v="0"/>
    <n v="749"/>
    <n v="2744"/>
    <n v="13197.43435"/>
    <b v="1"/>
    <n v="3"/>
    <b v="0"/>
    <n v="93091.974839999995"/>
    <n v="3639.5"/>
    <n v="7176"/>
    <s v="Understock"/>
    <n v="0.20579749965654623"/>
    <s v="Fast"/>
    <n v="17.620072563417889"/>
    <n v="0.50717670011148275"/>
    <s v="Optimal"/>
    <n v="0"/>
  </r>
  <r>
    <x v="906"/>
    <s v="South"/>
    <x v="3"/>
    <s v="Supplier D"/>
    <x v="2"/>
    <x v="0"/>
    <n v="125"/>
    <n v="4535"/>
    <n v="7374.1058300000004"/>
    <b v="0"/>
    <n v="14"/>
    <b v="0"/>
    <n v="8779.4155630000005"/>
    <n v="3900"/>
    <n v="7216"/>
    <s v="Overstock"/>
    <n v="3.2051282051282048E-2"/>
    <s v="Medium"/>
    <n v="58.992846640000003"/>
    <n v="0.54046563192904651"/>
    <s v="Optimal"/>
    <n v="0"/>
  </r>
  <r>
    <x v="907"/>
    <s v="North"/>
    <x v="1"/>
    <s v="Supplier D"/>
    <x v="2"/>
    <x v="2"/>
    <n v="347"/>
    <n v="3265"/>
    <n v="9549.6445910000002"/>
    <b v="1"/>
    <n v="21"/>
    <b v="0"/>
    <n v="50808.058590000001"/>
    <n v="3502"/>
    <n v="8745"/>
    <s v="Understock"/>
    <n v="9.9086236436322098E-2"/>
    <s v="Slow"/>
    <n v="27.52058959942363"/>
    <n v="0.40045740423098913"/>
    <s v="Optimal"/>
    <n v="0"/>
  </r>
  <r>
    <x v="908"/>
    <s v="East"/>
    <x v="1"/>
    <s v="Supplier A"/>
    <x v="2"/>
    <x v="0"/>
    <n v="353"/>
    <n v="3739"/>
    <n v="3970.3181549999999"/>
    <b v="1"/>
    <n v="25"/>
    <b v="0"/>
    <n v="9238.8932399999994"/>
    <n v="4163"/>
    <n v="5028"/>
    <s v="Understock"/>
    <n v="8.4794619264953158E-2"/>
    <s v="Slow"/>
    <n v="11.247360212464589"/>
    <n v="0.82796340493237863"/>
    <s v="Optimal"/>
    <n v="0"/>
  </r>
  <r>
    <x v="909"/>
    <s v="North"/>
    <x v="2"/>
    <s v="Supplier D"/>
    <x v="1"/>
    <x v="0"/>
    <n v="288"/>
    <n v="4587"/>
    <n v="14316.09864"/>
    <b v="1"/>
    <n v="29"/>
    <b v="0"/>
    <n v="6385.3209239999996"/>
    <n v="3374"/>
    <n v="7685"/>
    <s v="Overstock"/>
    <n v="8.5358624777711917E-2"/>
    <s v="Slow"/>
    <n v="49.708675833333331"/>
    <n v="0.4390370852309694"/>
    <s v="Optimal"/>
    <n v="0"/>
  </r>
  <r>
    <x v="910"/>
    <s v="West"/>
    <x v="2"/>
    <s v="Supplier D"/>
    <x v="1"/>
    <x v="0"/>
    <n v="480"/>
    <n v="2161"/>
    <n v="14137.20938"/>
    <b v="0"/>
    <n v="25"/>
    <b v="0"/>
    <n v="60714.181499999999"/>
    <n v="3453"/>
    <n v="5556"/>
    <s v="Understock"/>
    <n v="0.13900955690703737"/>
    <s v="Slow"/>
    <n v="29.452519541666668"/>
    <n v="0.62149028077753776"/>
    <s v="Optimal"/>
    <n v="0"/>
  </r>
  <r>
    <x v="911"/>
    <s v="North"/>
    <x v="2"/>
    <s v="Supplier A"/>
    <x v="1"/>
    <x v="0"/>
    <n v="540"/>
    <n v="4745"/>
    <n v="7014.4809310000001"/>
    <b v="0"/>
    <n v="10"/>
    <b v="0"/>
    <n v="101812.92329999999"/>
    <n v="2882.5"/>
    <n v="8843"/>
    <s v="Overstock"/>
    <n v="0.1873373807458803"/>
    <s v="Medium"/>
    <n v="12.989779501851851"/>
    <n v="0.32596403935316071"/>
    <s v="Under Utilized"/>
    <n v="0"/>
  </r>
  <r>
    <x v="912"/>
    <s v="North"/>
    <x v="2"/>
    <s v="Supplier B"/>
    <x v="1"/>
    <x v="0"/>
    <n v="413"/>
    <n v="1020"/>
    <n v="1926.0013630000001"/>
    <b v="1"/>
    <n v="19"/>
    <b v="0"/>
    <n v="63958.228819999997"/>
    <n v="1966"/>
    <n v="6607"/>
    <s v="Understock"/>
    <n v="0.21007121057985759"/>
    <s v="Slow"/>
    <n v="4.663441556900727"/>
    <n v="0.29756319055547148"/>
    <s v="Under Utilized"/>
    <n v="0"/>
  </r>
  <r>
    <x v="913"/>
    <s v="North"/>
    <x v="1"/>
    <s v="Supplier C"/>
    <x v="0"/>
    <x v="2"/>
    <n v="311"/>
    <n v="2912"/>
    <n v="8814.7614680000006"/>
    <b v="1"/>
    <n v="18"/>
    <b v="0"/>
    <n v="40038.01629"/>
    <n v="3393.5"/>
    <n v="7501"/>
    <s v="Understock"/>
    <n v="9.1645793428613523E-2"/>
    <s v="Slow"/>
    <n v="28.34328446302251"/>
    <n v="0.45240634582055728"/>
    <s v="Optimal"/>
    <n v="0"/>
  </r>
  <r>
    <x v="914"/>
    <s v="East"/>
    <x v="1"/>
    <s v="Supplier A"/>
    <x v="0"/>
    <x v="0"/>
    <n v="705"/>
    <n v="3875"/>
    <n v="1635.3742219999999"/>
    <b v="1"/>
    <n v="12"/>
    <b v="0"/>
    <n v="136692.5232"/>
    <n v="3986.5"/>
    <n v="9306"/>
    <s v="Understock"/>
    <n v="0.17684685814624357"/>
    <s v="Medium"/>
    <n v="2.3196797475177302"/>
    <n v="0.42837954008166773"/>
    <s v="Optimal"/>
    <n v="0"/>
  </r>
  <r>
    <x v="915"/>
    <s v="South"/>
    <x v="1"/>
    <s v="Supplier B"/>
    <x v="2"/>
    <x v="0"/>
    <n v="907"/>
    <n v="4098"/>
    <n v="3657.3562200000001"/>
    <b v="1"/>
    <n v="11"/>
    <b v="0"/>
    <n v="88231.002290000004"/>
    <n v="3094"/>
    <n v="9925"/>
    <s v="Overstock"/>
    <n v="0.2931480284421461"/>
    <s v="Medium"/>
    <n v="4.0323662844542447"/>
    <n v="0.31173803526448363"/>
    <s v="Under Utilized"/>
    <n v="0"/>
  </r>
  <r>
    <x v="916"/>
    <s v="East"/>
    <x v="2"/>
    <s v="Supplier A"/>
    <x v="0"/>
    <x v="2"/>
    <n v="236"/>
    <n v="2090"/>
    <n v="7593.9634910000004"/>
    <b v="1"/>
    <n v="6"/>
    <b v="0"/>
    <n v="28517.69543"/>
    <n v="2369.5"/>
    <n v="9804"/>
    <s v="Understock"/>
    <n v="9.9599071534078917E-2"/>
    <s v="Fast"/>
    <n v="32.177811402542375"/>
    <n v="0.24168706650346797"/>
    <s v="Under Utilized"/>
    <n v="0"/>
  </r>
  <r>
    <x v="917"/>
    <s v="South"/>
    <x v="3"/>
    <s v="Supplier D"/>
    <x v="1"/>
    <x v="0"/>
    <n v="532"/>
    <n v="2649"/>
    <n v="7001.0238230000004"/>
    <b v="1"/>
    <n v="7"/>
    <b v="1"/>
    <n v="50556.082750000001"/>
    <n v="1927"/>
    <n v="9784"/>
    <s v="Overstock"/>
    <n v="0.2760768033212247"/>
    <s v="Fast"/>
    <n v="13.159819216165415"/>
    <n v="0.19695421095666393"/>
    <s v="Under Utilized"/>
    <n v="1"/>
  </r>
  <r>
    <x v="918"/>
    <s v="West"/>
    <x v="2"/>
    <s v="Supplier C"/>
    <x v="1"/>
    <x v="0"/>
    <n v="579"/>
    <n v="1205"/>
    <n v="12348.05294"/>
    <b v="1"/>
    <n v="8"/>
    <b v="0"/>
    <n v="76675.525550000006"/>
    <n v="1096.5"/>
    <n v="5172"/>
    <s v="Overstock"/>
    <n v="0.52804377564979477"/>
    <s v="Medium"/>
    <n v="21.326516303972365"/>
    <n v="0.21200696055684454"/>
    <s v="Under Utilized"/>
    <n v="0"/>
  </r>
  <r>
    <x v="919"/>
    <s v="West"/>
    <x v="1"/>
    <s v="Supplier A"/>
    <x v="0"/>
    <x v="2"/>
    <n v="804"/>
    <n v="988"/>
    <n v="12927.90562"/>
    <b v="1"/>
    <n v="29"/>
    <b v="0"/>
    <n v="20734.957920000001"/>
    <n v="1734.5"/>
    <n v="7497"/>
    <s v="Understock"/>
    <n v="0.46353415970020179"/>
    <s v="Slow"/>
    <n v="16.07948460199005"/>
    <n v="0.23135921035080698"/>
    <s v="Under Utilized"/>
    <n v="0"/>
  </r>
  <r>
    <x v="920"/>
    <s v="South"/>
    <x v="0"/>
    <s v="Supplier C"/>
    <x v="1"/>
    <x v="2"/>
    <n v="290"/>
    <n v="2481"/>
    <n v="3742.382987"/>
    <b v="1"/>
    <n v="29"/>
    <b v="1"/>
    <n v="31372.453460000001"/>
    <n v="3377.5"/>
    <n v="5743"/>
    <s v="Understock"/>
    <n v="8.5862324204293114E-2"/>
    <s v="Slow"/>
    <n v="12.904768920689655"/>
    <n v="0.5881072610134076"/>
    <s v="Optimal"/>
    <n v="1"/>
  </r>
  <r>
    <x v="921"/>
    <s v="North"/>
    <x v="3"/>
    <s v="Supplier C"/>
    <x v="0"/>
    <x v="0"/>
    <n v="833"/>
    <n v="4274"/>
    <n v="4487.8592010000002"/>
    <b v="0"/>
    <n v="20"/>
    <b v="1"/>
    <n v="106310.7742"/>
    <n v="2459.5"/>
    <n v="5586"/>
    <s v="Overstock"/>
    <n v="0.33868672494409435"/>
    <s v="Slow"/>
    <n v="5.387586075630252"/>
    <n v="0.440297171500179"/>
    <s v="Optimal"/>
    <n v="1"/>
  </r>
  <r>
    <x v="922"/>
    <s v="South"/>
    <x v="0"/>
    <s v="Supplier B"/>
    <x v="0"/>
    <x v="0"/>
    <n v="380"/>
    <n v="645"/>
    <n v="13362.119790000001"/>
    <b v="1"/>
    <n v="5"/>
    <b v="0"/>
    <n v="55719.957060000001"/>
    <n v="884.5"/>
    <n v="8012"/>
    <s v="Understock"/>
    <n v="0.42962125494629733"/>
    <s v="Fast"/>
    <n v="35.163473131578947"/>
    <n v="0.11039690464303545"/>
    <s v="Under Utilized"/>
    <n v="0"/>
  </r>
  <r>
    <x v="923"/>
    <s v="North"/>
    <x v="1"/>
    <s v="Supplier A"/>
    <x v="2"/>
    <x v="1"/>
    <n v="103"/>
    <n v="1124"/>
    <n v="2411.1990340000002"/>
    <b v="1"/>
    <n v="2"/>
    <b v="0"/>
    <n v="16205.45247"/>
    <n v="3036"/>
    <n v="6929"/>
    <s v="Understock"/>
    <n v="3.3926218708827408E-2"/>
    <s v="Fast"/>
    <n v="23.409699359223303"/>
    <n v="0.43815846442488093"/>
    <s v="Optimal"/>
    <n v="0"/>
  </r>
  <r>
    <x v="924"/>
    <s v="West"/>
    <x v="0"/>
    <s v="Supplier A"/>
    <x v="1"/>
    <x v="0"/>
    <n v="859"/>
    <n v="4948"/>
    <n v="3781.0213450000001"/>
    <b v="0"/>
    <n v="14"/>
    <b v="0"/>
    <n v="25524.804510000002"/>
    <n v="3477.5"/>
    <n v="7497"/>
    <s v="Overstock"/>
    <n v="0.24701653486700215"/>
    <s v="Medium"/>
    <n v="4.4016546507566936"/>
    <n v="0.46385220754968653"/>
    <s v="Optimal"/>
    <n v="0"/>
  </r>
  <r>
    <x v="925"/>
    <s v="North"/>
    <x v="0"/>
    <s v="Supplier C"/>
    <x v="2"/>
    <x v="0"/>
    <n v="170"/>
    <n v="2007"/>
    <n v="10441.950360000001"/>
    <b v="1"/>
    <n v="19"/>
    <b v="0"/>
    <n v="14676.64033"/>
    <n v="1693"/>
    <n v="5376"/>
    <s v="Overstock"/>
    <n v="0.10041346721795628"/>
    <s v="Slow"/>
    <n v="61.42323741176471"/>
    <n v="0.31491815476190477"/>
    <s v="Under Utilized"/>
    <n v="0"/>
  </r>
  <r>
    <x v="926"/>
    <s v="West"/>
    <x v="3"/>
    <s v="Supplier C"/>
    <x v="2"/>
    <x v="0"/>
    <n v="893"/>
    <n v="1379"/>
    <n v="7271.7590650000002"/>
    <b v="1"/>
    <n v="20"/>
    <b v="0"/>
    <n v="168848.71040000001"/>
    <n v="1715"/>
    <n v="8218"/>
    <s v="Understock"/>
    <n v="0.52069970845481051"/>
    <s v="Slow"/>
    <n v="8.1430672620380733"/>
    <n v="0.20868824531516184"/>
    <s v="Under Utilized"/>
    <n v="0"/>
  </r>
  <r>
    <x v="927"/>
    <s v="West"/>
    <x v="2"/>
    <s v="Supplier B"/>
    <x v="1"/>
    <x v="2"/>
    <n v="307"/>
    <n v="2051"/>
    <n v="599.1908482"/>
    <b v="1"/>
    <n v="9"/>
    <b v="0"/>
    <n v="23661.466069999999"/>
    <n v="1937.5"/>
    <n v="7033"/>
    <s v="Overstock"/>
    <n v="0.15845161290322582"/>
    <s v="Medium"/>
    <n v="1.9517617205211726"/>
    <n v="0.2754869899047348"/>
    <s v="Under Utilized"/>
    <n v="0"/>
  </r>
  <r>
    <x v="928"/>
    <s v="West"/>
    <x v="3"/>
    <s v="Supplier D"/>
    <x v="1"/>
    <x v="0"/>
    <n v="625"/>
    <n v="1824"/>
    <n v="3159.6428310000001"/>
    <b v="1"/>
    <n v="29"/>
    <b v="0"/>
    <n v="117504.74370000001"/>
    <n v="1137.5"/>
    <n v="8467"/>
    <s v="Overstock"/>
    <n v="0.5494505494505495"/>
    <s v="Slow"/>
    <n v="5.0554285296000003"/>
    <n v="0.13434510452344395"/>
    <s v="Under Utilized"/>
    <n v="0"/>
  </r>
  <r>
    <x v="929"/>
    <s v="South"/>
    <x v="2"/>
    <s v="Supplier C"/>
    <x v="1"/>
    <x v="0"/>
    <n v="943"/>
    <n v="451"/>
    <n v="5455.3582139999999"/>
    <b v="1"/>
    <n v="10"/>
    <b v="0"/>
    <n v="146359.73319999999"/>
    <n v="767"/>
    <n v="8347"/>
    <s v="Understock"/>
    <n v="1.2294654498044328"/>
    <s v="Medium"/>
    <n v="5.7851094528101799"/>
    <n v="9.1889301545465443E-2"/>
    <s v="Under Utilized"/>
    <n v="0"/>
  </r>
  <r>
    <x v="930"/>
    <s v="East"/>
    <x v="2"/>
    <s v="Supplier C"/>
    <x v="0"/>
    <x v="0"/>
    <n v="497"/>
    <n v="1083"/>
    <n v="6659.3584520000004"/>
    <b v="1"/>
    <n v="20"/>
    <b v="0"/>
    <n v="91746.221260000006"/>
    <n v="2990"/>
    <n v="7734"/>
    <s v="Understock"/>
    <n v="0.16622073578595317"/>
    <s v="Slow"/>
    <n v="13.399111573440644"/>
    <n v="0.3866046030514611"/>
    <s v="Under Utilized"/>
    <n v="0"/>
  </r>
  <r>
    <x v="931"/>
    <s v="East"/>
    <x v="0"/>
    <s v="Supplier A"/>
    <x v="1"/>
    <x v="0"/>
    <n v="770"/>
    <n v="4897"/>
    <n v="2538.5828139999999"/>
    <b v="1"/>
    <n v="3"/>
    <b v="0"/>
    <n v="40333.629780000003"/>
    <n v="4739.5"/>
    <n v="9508"/>
    <s v="Overstock"/>
    <n v="0.16246439497837326"/>
    <s v="Fast"/>
    <n v="3.2968607974025974"/>
    <n v="0.49847496844762307"/>
    <s v="Optimal"/>
    <n v="0"/>
  </r>
  <r>
    <x v="932"/>
    <s v="West"/>
    <x v="3"/>
    <s v="Supplier D"/>
    <x v="0"/>
    <x v="0"/>
    <n v="552"/>
    <n v="4582"/>
    <n v="7902.5437890000003"/>
    <b v="1"/>
    <n v="23"/>
    <b v="0"/>
    <n v="84830.769010000004"/>
    <n v="4172"/>
    <n v="9016"/>
    <s v="Overstock"/>
    <n v="0.13231064237775647"/>
    <s v="Slow"/>
    <n v="14.316202516304349"/>
    <n v="0.46273291925465837"/>
    <s v="Optimal"/>
    <n v="0"/>
  </r>
  <r>
    <x v="933"/>
    <s v="West"/>
    <x v="3"/>
    <s v="Supplier D"/>
    <x v="0"/>
    <x v="0"/>
    <n v="952"/>
    <n v="3762"/>
    <n v="6749.2640680000004"/>
    <b v="1"/>
    <n v="10"/>
    <b v="0"/>
    <n v="136753.75659999999"/>
    <n v="3078"/>
    <n v="5127"/>
    <s v="Overstock"/>
    <n v="0.3092917478882391"/>
    <s v="Medium"/>
    <n v="7.0895630966386562"/>
    <n v="0.60035108250438851"/>
    <s v="Optimal"/>
    <n v="0"/>
  </r>
  <r>
    <x v="934"/>
    <s v="South"/>
    <x v="3"/>
    <s v="Supplier A"/>
    <x v="0"/>
    <x v="2"/>
    <n v="734"/>
    <n v="2394"/>
    <n v="2996.8634520000001"/>
    <b v="1"/>
    <n v="10"/>
    <b v="0"/>
    <n v="47742.54449"/>
    <n v="3575.5"/>
    <n v="6988"/>
    <s v="Understock"/>
    <n v="0.20528597398965179"/>
    <s v="Medium"/>
    <n v="4.0829202343324251"/>
    <n v="0.51166285060103034"/>
    <s v="Optimal"/>
    <n v="0"/>
  </r>
  <r>
    <x v="935"/>
    <s v="East"/>
    <x v="1"/>
    <s v="Supplier B"/>
    <x v="0"/>
    <x v="0"/>
    <n v="263"/>
    <n v="4757"/>
    <n v="1990.139518"/>
    <b v="1"/>
    <n v="21"/>
    <b v="0"/>
    <n v="25874.937959999999"/>
    <n v="3231"/>
    <n v="7138"/>
    <s v="Overstock"/>
    <n v="8.1398947694212312E-2"/>
    <s v="Slow"/>
    <n v="7.5670704106463873"/>
    <n v="0.45264780050434295"/>
    <s v="Optimal"/>
    <n v="0"/>
  </r>
  <r>
    <x v="936"/>
    <s v="North"/>
    <x v="1"/>
    <s v="Supplier C"/>
    <x v="0"/>
    <x v="2"/>
    <n v="454"/>
    <n v="1705"/>
    <n v="756.21564950000004"/>
    <b v="1"/>
    <n v="12"/>
    <b v="0"/>
    <n v="66951.646009999997"/>
    <n v="2477.5"/>
    <n v="6873"/>
    <s v="Understock"/>
    <n v="0.18324924318869829"/>
    <s v="Medium"/>
    <n v="1.6656732367841411"/>
    <n v="0.36046849992725155"/>
    <s v="Under Utilized"/>
    <n v="0"/>
  </r>
  <r>
    <x v="937"/>
    <s v="North"/>
    <x v="2"/>
    <s v="Supplier B"/>
    <x v="2"/>
    <x v="1"/>
    <n v="646"/>
    <n v="3250"/>
    <n v="1293.051031"/>
    <b v="1"/>
    <n v="10"/>
    <b v="1"/>
    <n v="30061.158479999998"/>
    <n v="3459.5"/>
    <n v="6068"/>
    <s v="Understock"/>
    <n v="0.18673218673218672"/>
    <s v="Medium"/>
    <n v="2.001626982972136"/>
    <n v="0.57012195121951215"/>
    <s v="Optimal"/>
    <n v="1"/>
  </r>
  <r>
    <x v="938"/>
    <s v="South"/>
    <x v="2"/>
    <s v="Supplier B"/>
    <x v="1"/>
    <x v="2"/>
    <n v="572"/>
    <n v="3669"/>
    <n v="3665.395121"/>
    <b v="1"/>
    <n v="22"/>
    <b v="0"/>
    <n v="97414.028659999996"/>
    <n v="4291"/>
    <n v="7381"/>
    <s v="Understock"/>
    <n v="0.13330226054532743"/>
    <s v="Slow"/>
    <n v="6.4080334283216782"/>
    <n v="0.58135753962877657"/>
    <s v="Optimal"/>
    <n v="0"/>
  </r>
  <r>
    <x v="939"/>
    <s v="North"/>
    <x v="2"/>
    <s v="Supplier B"/>
    <x v="1"/>
    <x v="0"/>
    <n v="508"/>
    <n v="4913"/>
    <n v="3826.2057810000001"/>
    <b v="1"/>
    <n v="6"/>
    <b v="0"/>
    <n v="93014.614329999997"/>
    <n v="3043"/>
    <n v="6266"/>
    <s v="Overstock"/>
    <n v="0.16694051922444955"/>
    <s v="Fast"/>
    <n v="7.5319011437007877"/>
    <n v="0.48563676986913501"/>
    <s v="Optimal"/>
    <n v="0"/>
  </r>
  <r>
    <x v="940"/>
    <s v="East"/>
    <x v="1"/>
    <s v="Supplier D"/>
    <x v="2"/>
    <x v="0"/>
    <n v="148"/>
    <n v="1173"/>
    <n v="5805.5398299999997"/>
    <b v="1"/>
    <n v="2"/>
    <b v="0"/>
    <n v="15882.3177"/>
    <n v="2486"/>
    <n v="9365"/>
    <s v="Understock"/>
    <n v="5.9533386967015288E-2"/>
    <s v="Fast"/>
    <n v="39.226620472972968"/>
    <n v="0.26545648691938067"/>
    <s v="Under Utilized"/>
    <n v="0"/>
  </r>
  <r>
    <x v="941"/>
    <s v="West"/>
    <x v="3"/>
    <s v="Supplier C"/>
    <x v="1"/>
    <x v="2"/>
    <n v="827"/>
    <n v="3799"/>
    <n v="2306.918416"/>
    <b v="1"/>
    <n v="8"/>
    <b v="0"/>
    <n v="157639.95329999999"/>
    <n v="3419"/>
    <n v="7046"/>
    <s v="Overstock"/>
    <n v="0.24188359169347762"/>
    <s v="Medium"/>
    <n v="2.7895023168077389"/>
    <n v="0.48523985239852396"/>
    <s v="Optimal"/>
    <n v="0"/>
  </r>
  <r>
    <x v="942"/>
    <s v="South"/>
    <x v="0"/>
    <s v="Supplier D"/>
    <x v="2"/>
    <x v="0"/>
    <n v="787"/>
    <n v="3039"/>
    <n v="2891.5433889999999"/>
    <b v="1"/>
    <n v="23"/>
    <b v="0"/>
    <n v="98389.492010000002"/>
    <n v="3824.5"/>
    <n v="6314"/>
    <s v="Understock"/>
    <n v="0.20577853314158714"/>
    <s v="Slow"/>
    <n v="3.6741339123252859"/>
    <n v="0.60571745327842885"/>
    <s v="Optimal"/>
    <n v="0"/>
  </r>
  <r>
    <x v="943"/>
    <s v="East"/>
    <x v="3"/>
    <s v="Supplier C"/>
    <x v="0"/>
    <x v="0"/>
    <n v="97"/>
    <n v="4610"/>
    <n v="3934.3173240000001"/>
    <b v="1"/>
    <n v="22"/>
    <b v="0"/>
    <n v="3330.5424459999999"/>
    <n v="3025"/>
    <n v="7559"/>
    <s v="Overstock"/>
    <n v="3.2066115702479338E-2"/>
    <s v="Slow"/>
    <n v="40.559972412371138"/>
    <n v="0.4001852096838206"/>
    <s v="Optimal"/>
    <n v="0"/>
  </r>
  <r>
    <x v="944"/>
    <s v="East"/>
    <x v="2"/>
    <s v="Supplier A"/>
    <x v="2"/>
    <x v="0"/>
    <n v="165"/>
    <n v="1440"/>
    <n v="1758.352834"/>
    <b v="1"/>
    <n v="12"/>
    <b v="0"/>
    <n v="12911.785"/>
    <n v="2432"/>
    <n v="5824"/>
    <s v="Understock"/>
    <n v="6.7845394736842105E-2"/>
    <s v="Medium"/>
    <n v="10.656683842424243"/>
    <n v="0.4175824175824176"/>
    <s v="Optimal"/>
    <n v="0"/>
  </r>
  <r>
    <x v="945"/>
    <s v="North"/>
    <x v="2"/>
    <s v="Supplier C"/>
    <x v="0"/>
    <x v="0"/>
    <n v="404"/>
    <n v="3424"/>
    <n v="8402.2430320000003"/>
    <b v="1"/>
    <n v="3"/>
    <b v="0"/>
    <n v="57195.410669999997"/>
    <n v="2457.5"/>
    <n v="9720"/>
    <s v="Overstock"/>
    <n v="0.16439471007121059"/>
    <s v="Fast"/>
    <n v="20.797631267326732"/>
    <n v="0.25282921810699588"/>
    <s v="Under Utilized"/>
    <n v="0"/>
  </r>
  <r>
    <x v="946"/>
    <s v="North"/>
    <x v="1"/>
    <s v="Supplier A"/>
    <x v="2"/>
    <x v="1"/>
    <n v="383"/>
    <n v="1491"/>
    <n v="12680.27306"/>
    <b v="1"/>
    <n v="4"/>
    <b v="0"/>
    <n v="40697.168790000003"/>
    <n v="1018.5"/>
    <n v="5708"/>
    <s v="Overstock"/>
    <n v="0.37604320078546882"/>
    <s v="Fast"/>
    <n v="33.107762558746735"/>
    <n v="0.17843377715487035"/>
    <s v="Under Utilized"/>
    <n v="0"/>
  </r>
  <r>
    <x v="947"/>
    <s v="West"/>
    <x v="0"/>
    <s v="Supplier D"/>
    <x v="0"/>
    <x v="0"/>
    <n v="74"/>
    <n v="546"/>
    <n v="11137.821190000001"/>
    <b v="1"/>
    <n v="13"/>
    <b v="1"/>
    <n v="4410.3929699999999"/>
    <n v="380.5"/>
    <n v="6416"/>
    <s v="Overstock"/>
    <n v="0.19448094612352168"/>
    <s v="Medium"/>
    <n v="150.51109716216217"/>
    <n v="5.9304862842892769E-2"/>
    <s v="Under Utilized"/>
    <n v="1"/>
  </r>
  <r>
    <x v="948"/>
    <s v="North"/>
    <x v="2"/>
    <s v="Supplier A"/>
    <x v="1"/>
    <x v="2"/>
    <n v="986"/>
    <n v="215"/>
    <n v="7059.3180080000002"/>
    <b v="1"/>
    <n v="17"/>
    <b v="0"/>
    <n v="127665.69160000001"/>
    <n v="462.5"/>
    <n v="8988"/>
    <s v="Understock"/>
    <n v="2.1318918918918919"/>
    <s v="Slow"/>
    <n v="7.1595517322515212"/>
    <n v="5.1457498887405431E-2"/>
    <s v="Under Utilized"/>
    <n v="0"/>
  </r>
  <r>
    <x v="949"/>
    <s v="South"/>
    <x v="0"/>
    <s v="Supplier D"/>
    <x v="0"/>
    <x v="0"/>
    <n v="688"/>
    <n v="710"/>
    <n v="6640.4891340000004"/>
    <b v="1"/>
    <n v="4"/>
    <b v="0"/>
    <n v="131800.22320000001"/>
    <n v="590.5"/>
    <n v="6909"/>
    <s v="Overstock"/>
    <n v="1.1651143099068586"/>
    <s v="Fast"/>
    <n v="9.6518737412790703"/>
    <n v="8.5468229845129542E-2"/>
    <s v="Under Utilized"/>
    <n v="0"/>
  </r>
  <r>
    <x v="950"/>
    <s v="East"/>
    <x v="0"/>
    <s v="Supplier B"/>
    <x v="1"/>
    <x v="0"/>
    <n v="424"/>
    <n v="471"/>
    <n v="2054.7247160000002"/>
    <b v="1"/>
    <n v="14"/>
    <b v="0"/>
    <n v="41977.515050000002"/>
    <n v="1077"/>
    <n v="8090"/>
    <s v="Understock"/>
    <n v="0.39368616527390898"/>
    <s v="Medium"/>
    <n v="4.8460488584905663"/>
    <n v="0.13312731767614339"/>
    <s v="Under Utilized"/>
    <n v="0"/>
  </r>
  <r>
    <x v="951"/>
    <s v="North"/>
    <x v="3"/>
    <s v="Supplier C"/>
    <x v="1"/>
    <x v="0"/>
    <n v="655"/>
    <n v="1683"/>
    <n v="7942.2773159999997"/>
    <b v="1"/>
    <n v="25"/>
    <b v="0"/>
    <n v="91519.164220000006"/>
    <n v="1597.5"/>
    <n v="8916"/>
    <s v="Overstock"/>
    <n v="0.41001564945226915"/>
    <s v="Slow"/>
    <n v="12.125614222900763"/>
    <n v="0.17917227456258411"/>
    <s v="Under Utilized"/>
    <n v="0"/>
  </r>
  <r>
    <x v="952"/>
    <s v="North"/>
    <x v="0"/>
    <s v="Supplier C"/>
    <x v="1"/>
    <x v="0"/>
    <n v="363"/>
    <n v="1512"/>
    <n v="7964.3714069999996"/>
    <b v="1"/>
    <n v="2"/>
    <b v="0"/>
    <n v="45124.149899999997"/>
    <n v="2557.5"/>
    <n v="5677"/>
    <s v="Understock"/>
    <n v="0.14193548387096774"/>
    <s v="Fast"/>
    <n v="21.940417099173551"/>
    <n v="0.45050202571780873"/>
    <s v="Optimal"/>
    <n v="0"/>
  </r>
  <r>
    <x v="953"/>
    <s v="North"/>
    <x v="0"/>
    <s v="Supplier B"/>
    <x v="0"/>
    <x v="0"/>
    <n v="543"/>
    <n v="3603"/>
    <n v="8831.4418650000007"/>
    <b v="1"/>
    <n v="27"/>
    <b v="0"/>
    <n v="23002.8956"/>
    <n v="3756.5"/>
    <n v="8524"/>
    <s v="Understock"/>
    <n v="0.1445494476241182"/>
    <s v="Slow"/>
    <n v="16.26416549723757"/>
    <n v="0.44069685593618019"/>
    <s v="Optimal"/>
    <n v="0"/>
  </r>
  <r>
    <x v="954"/>
    <s v="South"/>
    <x v="2"/>
    <s v="Supplier C"/>
    <x v="2"/>
    <x v="0"/>
    <n v="539"/>
    <n v="3910"/>
    <n v="5367.3948090000004"/>
    <b v="1"/>
    <n v="24"/>
    <b v="0"/>
    <n v="70548.058019999997"/>
    <n v="3133"/>
    <n v="7356"/>
    <s v="Overstock"/>
    <n v="0.17203957867858283"/>
    <s v="Slow"/>
    <n v="9.9580608701298701"/>
    <n v="0.42591082109842304"/>
    <s v="Optimal"/>
    <n v="0"/>
  </r>
  <r>
    <x v="955"/>
    <s v="East"/>
    <x v="1"/>
    <s v="Supplier A"/>
    <x v="0"/>
    <x v="1"/>
    <n v="767"/>
    <n v="2356"/>
    <n v="12365.46336"/>
    <b v="1"/>
    <n v="2"/>
    <b v="0"/>
    <n v="69557.339949999994"/>
    <n v="1419"/>
    <n v="6531"/>
    <s v="Overstock"/>
    <n v="0.54052149400986615"/>
    <s v="Fast"/>
    <n v="16.121855749674054"/>
    <n v="0.21727147450620118"/>
    <s v="Under Utilized"/>
    <n v="0"/>
  </r>
  <r>
    <x v="956"/>
    <s v="North"/>
    <x v="1"/>
    <s v="Supplier A"/>
    <x v="2"/>
    <x v="0"/>
    <n v="635"/>
    <n v="482"/>
    <n v="1530.04261"/>
    <b v="1"/>
    <n v="13"/>
    <b v="0"/>
    <n v="57251.319029999999"/>
    <n v="1397"/>
    <n v="5781"/>
    <s v="Understock"/>
    <n v="0.45454545454545453"/>
    <s v="Medium"/>
    <n v="2.4095159212598425"/>
    <n v="0.24165369313267601"/>
    <s v="Under Utilized"/>
    <n v="0"/>
  </r>
  <r>
    <x v="957"/>
    <s v="West"/>
    <x v="0"/>
    <s v="Supplier A"/>
    <x v="1"/>
    <x v="0"/>
    <n v="74"/>
    <n v="2312"/>
    <n v="7301.3662940000004"/>
    <b v="1"/>
    <n v="20"/>
    <b v="0"/>
    <n v="7741.678167"/>
    <n v="2517"/>
    <n v="9958"/>
    <s v="Understock"/>
    <n v="2.9400079459674214E-2"/>
    <s v="Slow"/>
    <n v="98.667112081081086"/>
    <n v="0.2527615987146013"/>
    <s v="Under Utilized"/>
    <n v="0"/>
  </r>
  <r>
    <x v="958"/>
    <s v="East"/>
    <x v="3"/>
    <s v="Supplier D"/>
    <x v="1"/>
    <x v="0"/>
    <n v="544"/>
    <n v="2722"/>
    <n v="8052.8438489999999"/>
    <b v="1"/>
    <n v="16"/>
    <b v="0"/>
    <n v="93421.702210000003"/>
    <n v="1755.5"/>
    <n v="5131"/>
    <s v="Overstock"/>
    <n v="0.30988322415266306"/>
    <s v="Slow"/>
    <n v="14.803021781249999"/>
    <n v="0.34213603586045604"/>
    <s v="Under Utilized"/>
    <n v="0"/>
  </r>
  <r>
    <x v="959"/>
    <s v="South"/>
    <x v="2"/>
    <s v="Supplier C"/>
    <x v="0"/>
    <x v="0"/>
    <n v="417"/>
    <n v="789"/>
    <n v="3258.3049970000002"/>
    <b v="1"/>
    <n v="20"/>
    <b v="0"/>
    <n v="64641.93651"/>
    <n v="2256.5"/>
    <n v="6022"/>
    <s v="Understock"/>
    <n v="0.18479946820296919"/>
    <s v="Slow"/>
    <n v="7.813681047961631"/>
    <n v="0.37470939887080706"/>
    <s v="Under Utilized"/>
    <n v="0"/>
  </r>
  <r>
    <x v="960"/>
    <s v="West"/>
    <x v="1"/>
    <s v="Supplier D"/>
    <x v="0"/>
    <x v="0"/>
    <n v="297"/>
    <n v="3724"/>
    <n v="10417.639380000001"/>
    <b v="0"/>
    <n v="24"/>
    <b v="1"/>
    <n v="55791.010549999999"/>
    <n v="3491"/>
    <n v="6044"/>
    <s v="Overstock"/>
    <n v="8.5075909481523923E-2"/>
    <s v="Slow"/>
    <n v="35.076226868686874"/>
    <n v="0.57759761747187288"/>
    <s v="Optimal"/>
    <n v="1"/>
  </r>
  <r>
    <x v="961"/>
    <s v="East"/>
    <x v="0"/>
    <s v="Supplier B"/>
    <x v="0"/>
    <x v="0"/>
    <n v="286"/>
    <n v="3258"/>
    <n v="8412.1956420000006"/>
    <b v="1"/>
    <n v="23"/>
    <b v="0"/>
    <n v="48530.6803"/>
    <n v="3812.5"/>
    <n v="7498"/>
    <s v="Understock"/>
    <n v="7.5016393442622953E-2"/>
    <s v="Slow"/>
    <n v="29.413271475524478"/>
    <n v="0.50846892504667907"/>
    <s v="Optimal"/>
    <n v="0"/>
  </r>
  <r>
    <x v="962"/>
    <s v="South"/>
    <x v="2"/>
    <s v="Supplier B"/>
    <x v="1"/>
    <x v="2"/>
    <n v="973"/>
    <n v="4367"/>
    <n v="3734.751851"/>
    <b v="1"/>
    <n v="25"/>
    <b v="0"/>
    <n v="118909.4154"/>
    <n v="2716.5"/>
    <n v="8349"/>
    <s v="Overstock"/>
    <n v="0.35818148352659673"/>
    <s v="Slow"/>
    <n v="3.8383883360739981"/>
    <n v="0.32536830758174634"/>
    <s v="Under Utilized"/>
    <n v="0"/>
  </r>
  <r>
    <x v="963"/>
    <s v="South"/>
    <x v="3"/>
    <s v="Supplier C"/>
    <x v="0"/>
    <x v="0"/>
    <n v="330"/>
    <n v="1066"/>
    <n v="9398.4062219999996"/>
    <b v="0"/>
    <n v="24"/>
    <b v="0"/>
    <n v="26605.481100000001"/>
    <n v="814.5"/>
    <n v="9513"/>
    <s v="Overstock"/>
    <n v="0.40515653775322286"/>
    <s v="Slow"/>
    <n v="28.480018854545452"/>
    <n v="8.5619678334910118E-2"/>
    <s v="Under Utilized"/>
    <n v="0"/>
  </r>
  <r>
    <x v="964"/>
    <s v="West"/>
    <x v="3"/>
    <s v="Supplier B"/>
    <x v="2"/>
    <x v="0"/>
    <n v="79"/>
    <n v="563"/>
    <n v="3481.5115719999999"/>
    <b v="1"/>
    <n v="26"/>
    <b v="0"/>
    <n v="5899.084527"/>
    <n v="1208.5"/>
    <n v="7902"/>
    <s v="Understock"/>
    <n v="6.5370293752585851E-2"/>
    <s v="Slow"/>
    <n v="44.069766734177215"/>
    <n v="0.15293596557833461"/>
    <s v="Under Utilized"/>
    <n v="0"/>
  </r>
  <r>
    <x v="965"/>
    <s v="West"/>
    <x v="0"/>
    <s v="Supplier B"/>
    <x v="2"/>
    <x v="1"/>
    <n v="776"/>
    <n v="1854"/>
    <n v="14235.849990000001"/>
    <b v="1"/>
    <n v="17"/>
    <b v="0"/>
    <n v="40323.25733"/>
    <n v="2142"/>
    <n v="6347"/>
    <s v="Understock"/>
    <n v="0.3622782446311858"/>
    <s v="Slow"/>
    <n v="18.345167512886597"/>
    <n v="0.33748227509059397"/>
    <s v="Under Utilized"/>
    <n v="0"/>
  </r>
  <r>
    <x v="966"/>
    <s v="West"/>
    <x v="0"/>
    <s v="Supplier D"/>
    <x v="1"/>
    <x v="1"/>
    <n v="305"/>
    <n v="2430"/>
    <n v="3351.6748699999998"/>
    <b v="1"/>
    <n v="29"/>
    <b v="1"/>
    <n v="39024.573709999997"/>
    <n v="1572.5"/>
    <n v="8468"/>
    <s v="Overstock"/>
    <n v="0.19395866454689983"/>
    <s v="Slow"/>
    <n v="10.989097934426228"/>
    <n v="0.18569910250354274"/>
    <s v="Under Utilized"/>
    <n v="1"/>
  </r>
  <r>
    <x v="967"/>
    <s v="West"/>
    <x v="3"/>
    <s v="Supplier A"/>
    <x v="2"/>
    <x v="2"/>
    <n v="933"/>
    <n v="715"/>
    <n v="13241.82459"/>
    <b v="1"/>
    <n v="11"/>
    <b v="1"/>
    <n v="142533.06390000001"/>
    <n v="2322"/>
    <n v="6321"/>
    <s v="Understock"/>
    <n v="0.40180878552971577"/>
    <s v="Medium"/>
    <n v="14.19273803858521"/>
    <n v="0.36734693877551022"/>
    <s v="Under Utilized"/>
    <n v="1"/>
  </r>
  <r>
    <x v="968"/>
    <s v="West"/>
    <x v="2"/>
    <s v="Supplier C"/>
    <x v="1"/>
    <x v="0"/>
    <n v="96"/>
    <n v="3929"/>
    <n v="4254.9432729999999"/>
    <b v="1"/>
    <n v="10"/>
    <b v="0"/>
    <n v="8182.8147849999996"/>
    <n v="4255.5"/>
    <n v="9135"/>
    <s v="Understock"/>
    <n v="2.2559041240747268E-2"/>
    <s v="Medium"/>
    <n v="44.322325760416668"/>
    <n v="0.4658456486042693"/>
    <s v="Optimal"/>
    <n v="0"/>
  </r>
  <r>
    <x v="969"/>
    <s v="South"/>
    <x v="2"/>
    <s v="Supplier C"/>
    <x v="2"/>
    <x v="0"/>
    <n v="118"/>
    <n v="4582"/>
    <n v="7138.1715219999996"/>
    <b v="1"/>
    <n v="18"/>
    <b v="0"/>
    <n v="2363.933548"/>
    <n v="2530"/>
    <n v="7436"/>
    <s v="Overstock"/>
    <n v="4.6640316205533598E-2"/>
    <s v="Slow"/>
    <n v="60.492978999999998"/>
    <n v="0.34023668639053256"/>
    <s v="Under Utilized"/>
    <n v="0"/>
  </r>
  <r>
    <x v="970"/>
    <s v="North"/>
    <x v="1"/>
    <s v="Supplier C"/>
    <x v="2"/>
    <x v="2"/>
    <n v="224"/>
    <n v="478"/>
    <n v="12578.99683"/>
    <b v="1"/>
    <n v="25"/>
    <b v="0"/>
    <n v="39053.80543"/>
    <n v="1842"/>
    <n v="8596"/>
    <s v="Understock"/>
    <n v="0.12160694896851248"/>
    <s v="Slow"/>
    <n v="56.156235848214287"/>
    <n v="0.21428571428571427"/>
    <s v="Under Utilized"/>
    <n v="0"/>
  </r>
  <r>
    <x v="971"/>
    <s v="North"/>
    <x v="3"/>
    <s v="Supplier B"/>
    <x v="2"/>
    <x v="0"/>
    <n v="174"/>
    <n v="3206"/>
    <n v="1303.9559180000001"/>
    <b v="1"/>
    <n v="20"/>
    <b v="0"/>
    <n v="27594.315210000001"/>
    <n v="4054.5"/>
    <n v="5641"/>
    <s v="Understock"/>
    <n v="4.2915279319274878E-2"/>
    <s v="Slow"/>
    <n v="7.4939995287356327"/>
    <n v="0.71875553979790818"/>
    <s v="Optimal"/>
    <n v="0"/>
  </r>
  <r>
    <x v="972"/>
    <s v="South"/>
    <x v="1"/>
    <s v="Supplier B"/>
    <x v="1"/>
    <x v="1"/>
    <n v="132"/>
    <n v="4903"/>
    <n v="13638.994269999999"/>
    <b v="1"/>
    <n v="18"/>
    <b v="0"/>
    <n v="21331.206709999999"/>
    <n v="3169"/>
    <n v="7477"/>
    <s v="Overstock"/>
    <n v="4.1653518460082042E-2"/>
    <s v="Slow"/>
    <n v="103.32571416666666"/>
    <n v="0.42383308813695331"/>
    <s v="Optimal"/>
    <n v="0"/>
  </r>
  <r>
    <x v="973"/>
    <s v="North"/>
    <x v="1"/>
    <s v="Supplier B"/>
    <x v="0"/>
    <x v="1"/>
    <n v="763"/>
    <n v="1435"/>
    <n v="14766.99863"/>
    <b v="1"/>
    <n v="25"/>
    <b v="0"/>
    <n v="149533.804"/>
    <n v="862.5"/>
    <n v="8960"/>
    <s v="Overstock"/>
    <n v="0.88463768115942032"/>
    <s v="Slow"/>
    <n v="19.353864521625162"/>
    <n v="9.6261160714285712E-2"/>
    <s v="Under Utilized"/>
    <n v="0"/>
  </r>
  <r>
    <x v="974"/>
    <s v="South"/>
    <x v="3"/>
    <s v="Supplier B"/>
    <x v="0"/>
    <x v="0"/>
    <n v="840"/>
    <n v="290"/>
    <n v="533.68938890000004"/>
    <b v="1"/>
    <n v="23"/>
    <b v="0"/>
    <n v="136507.48449999999"/>
    <n v="1553"/>
    <n v="5181"/>
    <s v="Understock"/>
    <n v="0.54088860270444306"/>
    <s v="Slow"/>
    <n v="0.63534451059523811"/>
    <n v="0.29974908318857363"/>
    <s v="Under Utilized"/>
    <n v="0"/>
  </r>
  <r>
    <x v="975"/>
    <s v="South"/>
    <x v="0"/>
    <s v="Supplier D"/>
    <x v="0"/>
    <x v="0"/>
    <n v="890"/>
    <n v="2816"/>
    <n v="2898.5922059999998"/>
    <b v="1"/>
    <n v="4"/>
    <b v="0"/>
    <n v="146217.22940000001"/>
    <n v="3442"/>
    <n v="5831"/>
    <s v="Understock"/>
    <n v="0.25857059848925046"/>
    <s v="Fast"/>
    <n v="3.2568451752808985"/>
    <n v="0.59029326016120731"/>
    <s v="Optimal"/>
    <n v="0"/>
  </r>
  <r>
    <x v="976"/>
    <s v="West"/>
    <x v="1"/>
    <s v="Supplier D"/>
    <x v="1"/>
    <x v="0"/>
    <n v="282"/>
    <n v="4068"/>
    <n v="13956.20643"/>
    <b v="1"/>
    <n v="19"/>
    <b v="0"/>
    <n v="42351.12732"/>
    <n v="2906"/>
    <n v="8823"/>
    <s v="Overstock"/>
    <n v="9.7040605643496217E-2"/>
    <s v="Slow"/>
    <n v="49.490093723404257"/>
    <n v="0.3293664286523858"/>
    <s v="Under Utilized"/>
    <n v="0"/>
  </r>
  <r>
    <x v="977"/>
    <s v="South"/>
    <x v="1"/>
    <s v="Supplier D"/>
    <x v="0"/>
    <x v="0"/>
    <n v="300"/>
    <n v="1744"/>
    <n v="13718.677250000001"/>
    <b v="1"/>
    <n v="16"/>
    <b v="0"/>
    <n v="23197.348979999999"/>
    <n v="2820.5"/>
    <n v="7840"/>
    <s v="Understock"/>
    <n v="0.10636411983690836"/>
    <s v="Slow"/>
    <n v="45.728924166666665"/>
    <n v="0.35975765306122448"/>
    <s v="Under Utilized"/>
    <n v="0"/>
  </r>
  <r>
    <x v="978"/>
    <s v="East"/>
    <x v="2"/>
    <s v="Supplier C"/>
    <x v="2"/>
    <x v="0"/>
    <n v="162"/>
    <n v="3897"/>
    <n v="7654.397156"/>
    <b v="1"/>
    <n v="3"/>
    <b v="0"/>
    <n v="16153.511759999999"/>
    <n v="3590"/>
    <n v="9767"/>
    <s v="Overstock"/>
    <n v="4.5125348189415042E-2"/>
    <s v="Fast"/>
    <n v="47.249365160493824"/>
    <n v="0.36756424695402889"/>
    <s v="Under Utilized"/>
    <n v="0"/>
  </r>
  <r>
    <x v="979"/>
    <s v="East"/>
    <x v="2"/>
    <s v="Supplier C"/>
    <x v="2"/>
    <x v="0"/>
    <n v="579"/>
    <n v="3283"/>
    <n v="12574.05932"/>
    <b v="1"/>
    <n v="2"/>
    <b v="0"/>
    <n v="94659.505130000005"/>
    <n v="2597"/>
    <n v="9057"/>
    <s v="Overstock"/>
    <n v="0.22294955718136311"/>
    <s v="Fast"/>
    <n v="21.716855474956823"/>
    <n v="0.2867395384785249"/>
    <s v="Under Utilized"/>
    <n v="0"/>
  </r>
  <r>
    <x v="980"/>
    <s v="East"/>
    <x v="2"/>
    <s v="Supplier C"/>
    <x v="2"/>
    <x v="0"/>
    <n v="274"/>
    <n v="1911"/>
    <n v="5586.2755340000003"/>
    <b v="1"/>
    <n v="2"/>
    <b v="0"/>
    <n v="22919.115320000001"/>
    <n v="1952.5"/>
    <n v="8585"/>
    <s v="Understock"/>
    <n v="0.14033290653008962"/>
    <s v="Fast"/>
    <n v="20.387866912408761"/>
    <n v="0.22743156668608036"/>
    <s v="Under Utilized"/>
    <n v="0"/>
  </r>
  <r>
    <x v="981"/>
    <s v="West"/>
    <x v="2"/>
    <s v="Supplier C"/>
    <x v="2"/>
    <x v="0"/>
    <n v="319"/>
    <n v="1994"/>
    <n v="8821.9724740000001"/>
    <b v="1"/>
    <n v="9"/>
    <b v="0"/>
    <n v="36827.714419999997"/>
    <n v="1650.5"/>
    <n v="6514"/>
    <s v="Overstock"/>
    <n v="0.19327476522265979"/>
    <s v="Medium"/>
    <n v="27.655086125391851"/>
    <n v="0.25337734111145227"/>
    <s v="Under Utilized"/>
    <n v="0"/>
  </r>
  <r>
    <x v="982"/>
    <s v="North"/>
    <x v="1"/>
    <s v="Supplier C"/>
    <x v="0"/>
    <x v="2"/>
    <n v="648"/>
    <n v="1307"/>
    <n v="13478.61011"/>
    <b v="1"/>
    <n v="18"/>
    <b v="0"/>
    <n v="121214.29429999999"/>
    <n v="3034"/>
    <n v="6028"/>
    <s v="Understock"/>
    <n v="0.21357943309162822"/>
    <s v="Slow"/>
    <n v="20.800324243827159"/>
    <n v="0.50331785003317853"/>
    <s v="Optimal"/>
    <n v="0"/>
  </r>
  <r>
    <x v="983"/>
    <s v="West"/>
    <x v="2"/>
    <s v="Supplier B"/>
    <x v="2"/>
    <x v="2"/>
    <n v="125"/>
    <n v="4761"/>
    <n v="4174.0012829999996"/>
    <b v="1"/>
    <n v="2"/>
    <b v="0"/>
    <n v="15305.897059999999"/>
    <n v="2774"/>
    <n v="9750"/>
    <s v="Overstock"/>
    <n v="4.5061283345349673E-2"/>
    <s v="Fast"/>
    <n v="33.392010264"/>
    <n v="0.28451282051282051"/>
    <s v="Under Utilized"/>
    <n v="0"/>
  </r>
  <r>
    <x v="984"/>
    <s v="North"/>
    <x v="0"/>
    <s v="Supplier D"/>
    <x v="1"/>
    <x v="0"/>
    <n v="365"/>
    <n v="787"/>
    <n v="11428.94256"/>
    <b v="1"/>
    <n v="11"/>
    <b v="0"/>
    <n v="38197.654609999998"/>
    <n v="1038"/>
    <n v="6748"/>
    <s v="Understock"/>
    <n v="0.3516377649325626"/>
    <s v="Medium"/>
    <n v="31.312171397260272"/>
    <n v="0.15382335506816835"/>
    <s v="Under Utilized"/>
    <n v="0"/>
  </r>
  <r>
    <x v="985"/>
    <s v="East"/>
    <x v="3"/>
    <s v="Supplier B"/>
    <x v="0"/>
    <x v="0"/>
    <n v="442"/>
    <n v="1289"/>
    <n v="3517.5375020000001"/>
    <b v="1"/>
    <n v="12"/>
    <b v="0"/>
    <n v="81531.553169999999"/>
    <n v="1348"/>
    <n v="9009"/>
    <s v="Understock"/>
    <n v="0.32789317507418397"/>
    <s v="Medium"/>
    <n v="7.9582296425339374"/>
    <n v="0.14962814962814963"/>
    <s v="Under Utilized"/>
    <n v="0"/>
  </r>
  <r>
    <x v="986"/>
    <s v="East"/>
    <x v="0"/>
    <s v="Supplier D"/>
    <x v="2"/>
    <x v="0"/>
    <n v="564"/>
    <n v="1407"/>
    <n v="3723.1001160000001"/>
    <b v="1"/>
    <n v="21"/>
    <b v="0"/>
    <n v="24964.67554"/>
    <n v="2530"/>
    <n v="6934"/>
    <s v="Understock"/>
    <n v="0.22292490118577074"/>
    <s v="Slow"/>
    <n v="6.6012413404255321"/>
    <n v="0.36486876261897894"/>
    <s v="Under Utilized"/>
    <n v="0"/>
  </r>
  <r>
    <x v="987"/>
    <s v="North"/>
    <x v="2"/>
    <s v="Supplier B"/>
    <x v="0"/>
    <x v="0"/>
    <n v="812"/>
    <n v="3653"/>
    <n v="14653.24735"/>
    <b v="0"/>
    <n v="22"/>
    <b v="0"/>
    <n v="78709.995360000001"/>
    <n v="3603.5"/>
    <n v="8367"/>
    <s v="Overstock"/>
    <n v="0.22533647842375468"/>
    <s v="Slow"/>
    <n v="18.045871120689654"/>
    <n v="0.43068005258754632"/>
    <s v="Optimal"/>
    <n v="0"/>
  </r>
  <r>
    <x v="988"/>
    <s v="East"/>
    <x v="3"/>
    <s v="Supplier D"/>
    <x v="2"/>
    <x v="1"/>
    <n v="828"/>
    <n v="3554"/>
    <n v="13856.58626"/>
    <b v="1"/>
    <n v="9"/>
    <b v="1"/>
    <n v="30175.380089999999"/>
    <n v="3016"/>
    <n v="6156"/>
    <s v="Overstock"/>
    <n v="0.27453580901856767"/>
    <s v="Medium"/>
    <n v="16.735007560386475"/>
    <n v="0.48992852501624429"/>
    <s v="Optimal"/>
    <n v="1"/>
  </r>
  <r>
    <x v="989"/>
    <s v="East"/>
    <x v="0"/>
    <s v="Supplier D"/>
    <x v="1"/>
    <x v="0"/>
    <n v="808"/>
    <n v="2478"/>
    <n v="712.38334550000002"/>
    <b v="1"/>
    <n v="29"/>
    <b v="0"/>
    <n v="27635.482080000002"/>
    <n v="2020"/>
    <n v="6656"/>
    <s v="Overstock"/>
    <n v="0.4"/>
    <s v="Slow"/>
    <n v="0.88166255631188117"/>
    <n v="0.30348557692307693"/>
    <s v="Under Utilized"/>
    <n v="0"/>
  </r>
  <r>
    <x v="990"/>
    <s v="North"/>
    <x v="3"/>
    <s v="Supplier D"/>
    <x v="0"/>
    <x v="0"/>
    <n v="929"/>
    <n v="1562"/>
    <n v="7511.8314929999997"/>
    <b v="1"/>
    <n v="8"/>
    <b v="0"/>
    <n v="158546.8407"/>
    <n v="2429.5"/>
    <n v="7101"/>
    <s v="Understock"/>
    <n v="0.38238320642107432"/>
    <s v="Medium"/>
    <n v="8.085932715823466"/>
    <n v="0.34213491057597523"/>
    <s v="Under Utilized"/>
    <n v="0"/>
  </r>
  <r>
    <x v="991"/>
    <s v="South"/>
    <x v="1"/>
    <s v="Supplier B"/>
    <x v="2"/>
    <x v="0"/>
    <n v="199"/>
    <n v="3297"/>
    <n v="1197.145043"/>
    <b v="1"/>
    <n v="22"/>
    <b v="0"/>
    <n v="6836.2351269999999"/>
    <n v="2789"/>
    <n v="5959"/>
    <s v="Overstock"/>
    <n v="7.1351738974542847E-2"/>
    <s v="Slow"/>
    <n v="6.0158042361809043"/>
    <n v="0.46803154891760362"/>
    <s v="Optimal"/>
    <n v="0"/>
  </r>
  <r>
    <x v="992"/>
    <s v="West"/>
    <x v="2"/>
    <s v="Supplier A"/>
    <x v="2"/>
    <x v="0"/>
    <n v="242"/>
    <n v="2281"/>
    <n v="9507.7846919999993"/>
    <b v="1"/>
    <n v="29"/>
    <b v="0"/>
    <n v="13504.840179999999"/>
    <n v="1647"/>
    <n v="8621"/>
    <s v="Overstock"/>
    <n v="0.14693381906496661"/>
    <s v="Slow"/>
    <n v="39.288366495867763"/>
    <n v="0.19104512237559448"/>
    <s v="Under Utilized"/>
    <n v="0"/>
  </r>
  <r>
    <x v="993"/>
    <s v="West"/>
    <x v="3"/>
    <s v="Supplier D"/>
    <x v="0"/>
    <x v="2"/>
    <n v="583"/>
    <n v="1013"/>
    <n v="3657.0690450000002"/>
    <b v="1"/>
    <n v="3"/>
    <b v="0"/>
    <n v="82715.007939999996"/>
    <n v="2863"/>
    <n v="8562"/>
    <s v="Understock"/>
    <n v="0.20363255326580509"/>
    <s v="Fast"/>
    <n v="6.272845703259005"/>
    <n v="0.33438448960523243"/>
    <s v="Under Utilized"/>
    <n v="0"/>
  </r>
  <r>
    <x v="994"/>
    <s v="North"/>
    <x v="0"/>
    <s v="Supplier C"/>
    <x v="1"/>
    <x v="0"/>
    <n v="340"/>
    <n v="4713"/>
    <n v="11731.29521"/>
    <b v="1"/>
    <n v="29"/>
    <b v="0"/>
    <n v="57227.599820000003"/>
    <n v="4402.5"/>
    <n v="9918"/>
    <s v="Overstock"/>
    <n v="7.7228847245883026E-2"/>
    <s v="Slow"/>
    <n v="34.503809441176472"/>
    <n v="0.44388989715668481"/>
    <s v="Optimal"/>
    <n v="0"/>
  </r>
  <r>
    <x v="995"/>
    <s v="West"/>
    <x v="3"/>
    <s v="Supplier C"/>
    <x v="1"/>
    <x v="0"/>
    <n v="503"/>
    <n v="4092"/>
    <n v="11939.441849999999"/>
    <b v="1"/>
    <n v="13"/>
    <b v="0"/>
    <n v="17550.834419999999"/>
    <n v="3392.5"/>
    <n v="5941"/>
    <s v="Overstock"/>
    <n v="0.14826823876197495"/>
    <s v="Medium"/>
    <n v="23.736464910536778"/>
    <n v="0.57103181282612359"/>
    <s v="Optimal"/>
    <n v="0"/>
  </r>
  <r>
    <x v="996"/>
    <s v="North"/>
    <x v="3"/>
    <s v="Supplier A"/>
    <x v="1"/>
    <x v="0"/>
    <n v="553"/>
    <n v="2693"/>
    <n v="3543.811663"/>
    <b v="1"/>
    <n v="10"/>
    <b v="0"/>
    <n v="72764.642120000004"/>
    <n v="1911.5"/>
    <n v="8681"/>
    <s v="Overstock"/>
    <n v="0.28930159560554536"/>
    <s v="Medium"/>
    <n v="6.4083393544303799"/>
    <n v="0.22019352609146411"/>
    <s v="Under Utilized"/>
    <n v="0"/>
  </r>
  <r>
    <x v="997"/>
    <s v="East"/>
    <x v="2"/>
    <s v="Supplier B"/>
    <x v="0"/>
    <x v="0"/>
    <n v="775"/>
    <n v="1130"/>
    <n v="14332.082909999999"/>
    <b v="1"/>
    <n v="20"/>
    <b v="0"/>
    <n v="125276.4708"/>
    <n v="1101"/>
    <n v="9662"/>
    <s v="Overstock"/>
    <n v="0.70390554041780196"/>
    <s v="Slow"/>
    <n v="18.493010206451611"/>
    <n v="0.113951562823432"/>
    <s v="Under Utilized"/>
    <n v="0"/>
  </r>
  <r>
    <x v="998"/>
    <s v="West"/>
    <x v="1"/>
    <s v="Supplier A"/>
    <x v="1"/>
    <x v="0"/>
    <n v="465"/>
    <n v="1072"/>
    <n v="978.67307059999996"/>
    <b v="1"/>
    <n v="8"/>
    <b v="0"/>
    <n v="41619.616560000002"/>
    <n v="1696"/>
    <n v="8698"/>
    <s v="Understock"/>
    <n v="0.27417452830188677"/>
    <s v="Medium"/>
    <n v="2.1046732701075266"/>
    <n v="0.19498735341457807"/>
    <s v="Under Utilized"/>
    <n v="0"/>
  </r>
  <r>
    <x v="999"/>
    <s v="East"/>
    <x v="1"/>
    <s v="Supplier B"/>
    <x v="2"/>
    <x v="2"/>
    <n v="950"/>
    <n v="2320"/>
    <n v="6763.8458860000001"/>
    <b v="1"/>
    <n v="27"/>
    <b v="0"/>
    <n v="181905.78820000001"/>
    <n v="3097"/>
    <n v="7167"/>
    <s v="Understock"/>
    <n v="0.30674846625766872"/>
    <s v="Slow"/>
    <n v="7.1198377747368422"/>
    <n v="0.43211943630528815"/>
    <s v="Optimal"/>
    <n v="0"/>
  </r>
  <r>
    <x v="1000"/>
    <s v="East"/>
    <x v="2"/>
    <s v="Supplier C"/>
    <x v="1"/>
    <x v="0"/>
    <n v="858"/>
    <n v="3874"/>
    <n v="777.93436910000003"/>
    <b v="1"/>
    <n v="27"/>
    <b v="0"/>
    <n v="155869.38570000001"/>
    <n v="2635"/>
    <n v="8913"/>
    <s v="Overstock"/>
    <n v="0.32561669829222012"/>
    <s v="Slow"/>
    <n v="0.90668341386946394"/>
    <n v="0.29563558846628518"/>
    <s v="Under Utilized"/>
    <n v="0"/>
  </r>
  <r>
    <x v="1001"/>
    <s v="North"/>
    <x v="0"/>
    <s v="Supplier C"/>
    <x v="2"/>
    <x v="0"/>
    <n v="898"/>
    <n v="1396"/>
    <n v="4849.1081020000001"/>
    <b v="1"/>
    <n v="3"/>
    <b v="0"/>
    <n v="176622.4344"/>
    <n v="1536.5"/>
    <n v="5743"/>
    <s v="Understock"/>
    <n v="0.5844451675886756"/>
    <s v="Fast"/>
    <n v="5.3998976636971046"/>
    <n v="0.267543095942887"/>
    <s v="Under Utilized"/>
    <n v="0"/>
  </r>
  <r>
    <x v="1002"/>
    <s v="West"/>
    <x v="1"/>
    <s v="Supplier A"/>
    <x v="0"/>
    <x v="2"/>
    <n v="501"/>
    <n v="1677"/>
    <n v="14279.4517"/>
    <b v="1"/>
    <n v="29"/>
    <b v="0"/>
    <n v="61222.125930000002"/>
    <n v="1766"/>
    <n v="6393"/>
    <s v="Understock"/>
    <n v="0.28369195922989809"/>
    <s v="Slow"/>
    <n v="28.501899600798403"/>
    <n v="0.27623963710308147"/>
    <s v="Under Utilized"/>
    <n v="0"/>
  </r>
  <r>
    <x v="1003"/>
    <s v="South"/>
    <x v="1"/>
    <s v="Supplier C"/>
    <x v="2"/>
    <x v="1"/>
    <n v="437"/>
    <n v="1855"/>
    <n v="7709.8233280000004"/>
    <b v="1"/>
    <n v="5"/>
    <b v="0"/>
    <n v="33229.94485"/>
    <n v="2874"/>
    <n v="8019"/>
    <s v="Understock"/>
    <n v="0.15205288796102992"/>
    <s v="Fast"/>
    <n v="17.642616311212816"/>
    <n v="0.35839880284324727"/>
    <s v="Under Utilized"/>
    <n v="0"/>
  </r>
  <r>
    <x v="1004"/>
    <s v="South"/>
    <x v="3"/>
    <s v="Supplier D"/>
    <x v="2"/>
    <x v="0"/>
    <n v="145"/>
    <n v="3893"/>
    <n v="10256.059499999999"/>
    <b v="1"/>
    <n v="22"/>
    <b v="0"/>
    <n v="23164.126700000001"/>
    <n v="3824"/>
    <n v="5295"/>
    <s v="Overstock"/>
    <n v="3.7918410041841003E-2"/>
    <s v="Slow"/>
    <n v="70.731444827586202"/>
    <n v="0.72219074598678001"/>
    <s v="Optimal"/>
    <n v="0"/>
  </r>
  <r>
    <x v="1005"/>
    <s v="East"/>
    <x v="2"/>
    <s v="Supplier A"/>
    <x v="2"/>
    <x v="1"/>
    <n v="450"/>
    <n v="3755"/>
    <n v="12233.32465"/>
    <b v="1"/>
    <n v="15"/>
    <b v="0"/>
    <n v="64637.772349999999"/>
    <n v="4091"/>
    <n v="6936"/>
    <s v="Understock"/>
    <n v="0.10999755560987534"/>
    <s v="Slow"/>
    <n v="27.185165888888889"/>
    <n v="0.58982122260668979"/>
    <s v="Optimal"/>
    <n v="0"/>
  </r>
  <r>
    <x v="1006"/>
    <s v="East"/>
    <x v="3"/>
    <s v="Supplier D"/>
    <x v="1"/>
    <x v="1"/>
    <n v="860"/>
    <n v="4427"/>
    <n v="10075.629660000001"/>
    <b v="1"/>
    <n v="13"/>
    <b v="0"/>
    <n v="117381.5711"/>
    <n v="2318.5"/>
    <n v="9788"/>
    <s v="Overstock"/>
    <n v="0.37092948026741429"/>
    <s v="Medium"/>
    <n v="11.715848441860466"/>
    <n v="0.23687167960768288"/>
    <s v="Under Utilized"/>
    <n v="0"/>
  </r>
  <r>
    <x v="1007"/>
    <s v="North"/>
    <x v="0"/>
    <s v="Supplier C"/>
    <x v="1"/>
    <x v="1"/>
    <n v="700"/>
    <n v="210"/>
    <n v="1526.4758220000001"/>
    <b v="1"/>
    <n v="10"/>
    <b v="0"/>
    <n v="86946.084199999998"/>
    <n v="738.5"/>
    <n v="6060"/>
    <s v="Understock"/>
    <n v="0.94786729857819907"/>
    <s v="Medium"/>
    <n v="2.1806797457142859"/>
    <n v="0.12186468646864687"/>
    <s v="Under Utilized"/>
    <n v="0"/>
  </r>
  <r>
    <x v="1008"/>
    <s v="East"/>
    <x v="3"/>
    <s v="Supplier B"/>
    <x v="1"/>
    <x v="2"/>
    <n v="155"/>
    <n v="1267"/>
    <n v="11764.959349999999"/>
    <b v="1"/>
    <n v="9"/>
    <b v="0"/>
    <n v="9637.1122720000003"/>
    <n v="1859.5"/>
    <n v="8316"/>
    <s v="Understock"/>
    <n v="8.3355740790535093E-2"/>
    <s v="Medium"/>
    <n v="75.902963548387092"/>
    <n v="0.22360509860509861"/>
    <s v="Under Utilized"/>
    <n v="0"/>
  </r>
  <r>
    <x v="1009"/>
    <s v="East"/>
    <x v="3"/>
    <s v="Supplier B"/>
    <x v="1"/>
    <x v="0"/>
    <n v="884"/>
    <n v="2452"/>
    <n v="5173.7099550000003"/>
    <b v="1"/>
    <n v="21"/>
    <b v="0"/>
    <n v="119030.2127"/>
    <n v="2734.5"/>
    <n v="5141"/>
    <s v="Understock"/>
    <n v="0.32327665021027613"/>
    <s v="Slow"/>
    <n v="5.8526130712669691"/>
    <n v="0.5319004084808403"/>
    <s v="Optimal"/>
    <n v="0"/>
  </r>
  <r>
    <x v="1010"/>
    <s v="South"/>
    <x v="2"/>
    <s v="Supplier C"/>
    <x v="2"/>
    <x v="1"/>
    <n v="496"/>
    <n v="3017"/>
    <n v="9232.7163839999994"/>
    <b v="1"/>
    <n v="9"/>
    <b v="0"/>
    <n v="56513.009850000002"/>
    <n v="2316"/>
    <n v="6529"/>
    <s v="Overstock"/>
    <n v="0.21416234887737479"/>
    <s v="Medium"/>
    <n v="18.614347548387094"/>
    <n v="0.35472507275233572"/>
    <s v="Under Utilized"/>
    <n v="0"/>
  </r>
  <r>
    <x v="1011"/>
    <s v="East"/>
    <x v="1"/>
    <s v="Supplier B"/>
    <x v="1"/>
    <x v="0"/>
    <n v="940"/>
    <n v="1615"/>
    <n v="5264.2741749999996"/>
    <b v="1"/>
    <n v="25"/>
    <b v="0"/>
    <n v="22264.7225"/>
    <n v="3013.5"/>
    <n v="8459"/>
    <s v="Understock"/>
    <n v="0.311929649908744"/>
    <s v="Slow"/>
    <n v="5.6002916755319143"/>
    <n v="0.35624778342593688"/>
    <s v="Under Utilized"/>
    <n v="0"/>
  </r>
  <r>
    <x v="1012"/>
    <s v="East"/>
    <x v="0"/>
    <s v="Supplier B"/>
    <x v="0"/>
    <x v="0"/>
    <n v="425"/>
    <n v="4412"/>
    <n v="5477.8640530000002"/>
    <b v="1"/>
    <n v="17"/>
    <b v="0"/>
    <n v="50056.337220000001"/>
    <n v="3799"/>
    <n v="8386"/>
    <s v="Overstock"/>
    <n v="0.1118715451434588"/>
    <s v="Slow"/>
    <n v="12.889091889411766"/>
    <n v="0.45301693298354401"/>
    <s v="Optimal"/>
    <n v="0"/>
  </r>
  <r>
    <x v="1013"/>
    <s v="South"/>
    <x v="2"/>
    <s v="Supplier B"/>
    <x v="2"/>
    <x v="0"/>
    <n v="673"/>
    <n v="3186"/>
    <n v="7936.1127550000001"/>
    <b v="1"/>
    <n v="29"/>
    <b v="0"/>
    <n v="50363.584719999999"/>
    <n v="2828.5"/>
    <n v="5794"/>
    <s v="Overstock"/>
    <n v="0.2379353013964999"/>
    <s v="Slow"/>
    <n v="11.792143766716196"/>
    <n v="0.48817742492233346"/>
    <s v="Optimal"/>
    <n v="0"/>
  </r>
  <r>
    <x v="1014"/>
    <s v="North"/>
    <x v="0"/>
    <s v="Supplier B"/>
    <x v="1"/>
    <x v="0"/>
    <n v="55"/>
    <n v="2471"/>
    <n v="1622.467504"/>
    <b v="1"/>
    <n v="7"/>
    <b v="0"/>
    <n v="10086.05126"/>
    <n v="3001.5"/>
    <n v="5346"/>
    <s v="Understock"/>
    <n v="1.8324171247709478E-2"/>
    <s v="Fast"/>
    <n v="29.499409163636361"/>
    <n v="0.56144781144781142"/>
    <s v="Optimal"/>
    <n v="0"/>
  </r>
  <r>
    <x v="1015"/>
    <s v="North"/>
    <x v="2"/>
    <s v="Supplier C"/>
    <x v="0"/>
    <x v="0"/>
    <n v="261"/>
    <n v="3532"/>
    <n v="9486.3438900000001"/>
    <b v="0"/>
    <n v="11"/>
    <b v="0"/>
    <n v="22467.900600000001"/>
    <n v="2947.5"/>
    <n v="6405"/>
    <s v="Overstock"/>
    <n v="8.8549618320610687E-2"/>
    <s v="Medium"/>
    <n v="36.346145172413792"/>
    <n v="0.46018735362997659"/>
    <s v="Optimal"/>
    <n v="0"/>
  </r>
  <r>
    <x v="1016"/>
    <s v="East"/>
    <x v="0"/>
    <s v="Supplier B"/>
    <x v="2"/>
    <x v="0"/>
    <n v="251"/>
    <n v="2363"/>
    <n v="11508.96521"/>
    <b v="1"/>
    <n v="26"/>
    <b v="1"/>
    <n v="47843.271139999997"/>
    <n v="3471"/>
    <n v="5846"/>
    <s v="Understock"/>
    <n v="7.2313454335926244E-2"/>
    <s v="Slow"/>
    <n v="45.852451035856575"/>
    <n v="0.59373930892918236"/>
    <s v="Optimal"/>
    <n v="1"/>
  </r>
  <r>
    <x v="1017"/>
    <s v="South"/>
    <x v="1"/>
    <s v="Supplier B"/>
    <x v="2"/>
    <x v="1"/>
    <n v="790"/>
    <n v="4579"/>
    <n v="4934.2959140000003"/>
    <b v="1"/>
    <n v="27"/>
    <b v="1"/>
    <n v="53335.233460000003"/>
    <n v="4459"/>
    <n v="6384"/>
    <s v="Overstock"/>
    <n v="0.17716976900650369"/>
    <s v="Slow"/>
    <n v="6.2459441949367092"/>
    <n v="0.69846491228070173"/>
    <s v="Optimal"/>
    <n v="1"/>
  </r>
  <r>
    <x v="1018"/>
    <s v="East"/>
    <x v="0"/>
    <s v="Supplier C"/>
    <x v="0"/>
    <x v="2"/>
    <n v="506"/>
    <n v="4339"/>
    <n v="10561.01585"/>
    <b v="1"/>
    <n v="3"/>
    <b v="0"/>
    <n v="23767.257259999998"/>
    <n v="3914"/>
    <n v="8882"/>
    <s v="Overstock"/>
    <n v="0.12927950945324476"/>
    <s v="Fast"/>
    <n v="20.871572826086958"/>
    <n v="0.44066651655032651"/>
    <s v="Optimal"/>
    <n v="0"/>
  </r>
  <r>
    <x v="1019"/>
    <s v="North"/>
    <x v="3"/>
    <s v="Supplier B"/>
    <x v="0"/>
    <x v="1"/>
    <n v="657"/>
    <n v="3489"/>
    <n v="4615.0701740000004"/>
    <b v="1"/>
    <n v="21"/>
    <b v="0"/>
    <n v="68904.335370000001"/>
    <n v="2489.5"/>
    <n v="6515"/>
    <s v="Overstock"/>
    <n v="0.2639084153444467"/>
    <s v="Slow"/>
    <n v="7.0244599299847801"/>
    <n v="0.38211818879508824"/>
    <s v="Under Utilized"/>
    <n v="0"/>
  </r>
  <r>
    <x v="1020"/>
    <s v="East"/>
    <x v="3"/>
    <s v="Supplier B"/>
    <x v="0"/>
    <x v="1"/>
    <n v="939"/>
    <n v="1490"/>
    <n v="10496.54844"/>
    <b v="1"/>
    <n v="19"/>
    <b v="0"/>
    <n v="146260.1783"/>
    <n v="1241.5"/>
    <n v="6039"/>
    <s v="Overstock"/>
    <n v="0.75634313330648406"/>
    <s v="Slow"/>
    <n v="11.17843284345048"/>
    <n v="0.20558039410498427"/>
    <s v="Under Utilized"/>
    <n v="0"/>
  </r>
  <r>
    <x v="1021"/>
    <s v="North"/>
    <x v="3"/>
    <s v="Supplier D"/>
    <x v="1"/>
    <x v="0"/>
    <n v="473"/>
    <n v="993"/>
    <n v="13450.14925"/>
    <b v="1"/>
    <n v="27"/>
    <b v="0"/>
    <n v="20325.838080000001"/>
    <n v="1291.5"/>
    <n v="6053"/>
    <s v="Understock"/>
    <n v="0.36624080526519553"/>
    <s v="Slow"/>
    <n v="28.435833509513742"/>
    <n v="0.21336527341813977"/>
    <s v="Under Utilized"/>
    <n v="0"/>
  </r>
  <r>
    <x v="1022"/>
    <s v="East"/>
    <x v="2"/>
    <s v="Supplier A"/>
    <x v="1"/>
    <x v="1"/>
    <n v="832"/>
    <n v="1590"/>
    <n v="10460.650809999999"/>
    <b v="1"/>
    <n v="5"/>
    <b v="0"/>
    <n v="19386.35714"/>
    <n v="1770"/>
    <n v="9917"/>
    <s v="Understock"/>
    <n v="0.47005649717514125"/>
    <s v="Fast"/>
    <n v="12.572897608173076"/>
    <n v="0.17848139558334172"/>
    <s v="Under Utilized"/>
    <n v="0"/>
  </r>
  <r>
    <x v="1023"/>
    <s v="East"/>
    <x v="0"/>
    <s v="Supplier A"/>
    <x v="1"/>
    <x v="0"/>
    <n v="195"/>
    <n v="1950"/>
    <n v="10876.500400000001"/>
    <b v="1"/>
    <n v="26"/>
    <b v="0"/>
    <n v="16890.133730000001"/>
    <n v="1187"/>
    <n v="9063"/>
    <s v="Overstock"/>
    <n v="0.16427969671440606"/>
    <s v="Slow"/>
    <n v="55.776925128205136"/>
    <n v="0.13097208429879731"/>
    <s v="Under Utilized"/>
    <n v="0"/>
  </r>
  <r>
    <x v="1024"/>
    <s v="South"/>
    <x v="2"/>
    <s v="Supplier B"/>
    <x v="0"/>
    <x v="2"/>
    <n v="667"/>
    <n v="424"/>
    <n v="12656.794749999999"/>
    <b v="1"/>
    <n v="19"/>
    <b v="0"/>
    <n v="82953.40208"/>
    <n v="869.5"/>
    <n v="8805"/>
    <s v="Understock"/>
    <n v="0.76710753306497992"/>
    <s v="Slow"/>
    <n v="18.975704272863567"/>
    <n v="9.8750709823963653E-2"/>
    <s v="Under Utilized"/>
    <n v="0"/>
  </r>
  <r>
    <x v="1025"/>
    <s v="West"/>
    <x v="1"/>
    <s v="Supplier A"/>
    <x v="2"/>
    <x v="2"/>
    <n v="337"/>
    <n v="1315"/>
    <n v="4275.8450769999999"/>
    <b v="1"/>
    <n v="26"/>
    <b v="0"/>
    <n v="44987.412490000002"/>
    <n v="2174"/>
    <n v="6673"/>
    <s v="Understock"/>
    <n v="0.15501379944802207"/>
    <s v="Slow"/>
    <n v="12.687967587537091"/>
    <n v="0.32579049902592538"/>
    <s v="Under Utilized"/>
    <n v="0"/>
  </r>
  <r>
    <x v="1026"/>
    <s v="West"/>
    <x v="3"/>
    <s v="Supplier A"/>
    <x v="1"/>
    <x v="1"/>
    <n v="55"/>
    <n v="3033"/>
    <n v="6890.7160960000001"/>
    <b v="1"/>
    <n v="29"/>
    <b v="0"/>
    <n v="10111.69054"/>
    <n v="3911"/>
    <n v="9165"/>
    <s v="Understock"/>
    <n v="1.4062899514190744E-2"/>
    <s v="Slow"/>
    <n v="125.2857472"/>
    <n v="0.42673213311511182"/>
    <s v="Optimal"/>
    <n v="0"/>
  </r>
  <r>
    <x v="1027"/>
    <s v="East"/>
    <x v="0"/>
    <s v="Supplier A"/>
    <x v="0"/>
    <x v="2"/>
    <n v="968"/>
    <n v="4789"/>
    <n v="14515.10432"/>
    <b v="1"/>
    <n v="29"/>
    <b v="0"/>
    <n v="187237.5007"/>
    <n v="4029.5"/>
    <n v="9787"/>
    <s v="Overstock"/>
    <n v="0.2402283161682591"/>
    <s v="Slow"/>
    <n v="14.994942479338844"/>
    <n v="0.41171962807806273"/>
    <s v="Optimal"/>
    <n v="0"/>
  </r>
  <r>
    <x v="1028"/>
    <s v="North"/>
    <x v="1"/>
    <s v="Supplier A"/>
    <x v="1"/>
    <x v="0"/>
    <n v="142"/>
    <n v="3270"/>
    <n v="14924.23684"/>
    <b v="1"/>
    <n v="23"/>
    <b v="0"/>
    <n v="11620.66799"/>
    <n v="3057.5"/>
    <n v="7159"/>
    <s v="Overstock"/>
    <n v="4.6443172526573998E-2"/>
    <s v="Slow"/>
    <n v="105.10025943661971"/>
    <n v="0.42708478837826513"/>
    <s v="Optimal"/>
    <n v="0"/>
  </r>
  <r>
    <x v="1029"/>
    <s v="West"/>
    <x v="1"/>
    <s v="Supplier B"/>
    <x v="0"/>
    <x v="0"/>
    <n v="53"/>
    <n v="2845"/>
    <n v="4618.8466410000001"/>
    <b v="1"/>
    <n v="5"/>
    <b v="0"/>
    <n v="9931.6482090000009"/>
    <n v="3361.5"/>
    <n v="7256"/>
    <s v="Understock"/>
    <n v="1.5766770786851108E-2"/>
    <s v="Fast"/>
    <n v="87.148049830188683"/>
    <n v="0.46327177508269018"/>
    <s v="Optimal"/>
    <n v="0"/>
  </r>
  <r>
    <x v="1030"/>
    <s v="South"/>
    <x v="3"/>
    <s v="Supplier A"/>
    <x v="1"/>
    <x v="0"/>
    <n v="669"/>
    <n v="3878"/>
    <n v="8349.7582569999995"/>
    <b v="1"/>
    <n v="12"/>
    <b v="0"/>
    <n v="62903.01382"/>
    <n v="2791.5"/>
    <n v="9771"/>
    <s v="Overstock"/>
    <n v="0.23965609887157444"/>
    <s v="Medium"/>
    <n v="12.480954046337818"/>
    <n v="0.28569235492784772"/>
    <s v="Under Utilized"/>
    <n v="0"/>
  </r>
  <r>
    <x v="1031"/>
    <s v="East"/>
    <x v="2"/>
    <s v="Supplier D"/>
    <x v="2"/>
    <x v="0"/>
    <n v="543"/>
    <n v="1705"/>
    <n v="14975.62197"/>
    <b v="1"/>
    <n v="29"/>
    <b v="0"/>
    <n v="57146.682789999999"/>
    <n v="2625.5"/>
    <n v="6117"/>
    <s v="Understock"/>
    <n v="0.20681774900019043"/>
    <s v="Slow"/>
    <n v="27.579414309392266"/>
    <n v="0.4292136668301455"/>
    <s v="Optimal"/>
    <n v="0"/>
  </r>
  <r>
    <x v="1032"/>
    <s v="East"/>
    <x v="3"/>
    <s v="Supplier B"/>
    <x v="1"/>
    <x v="0"/>
    <n v="683"/>
    <n v="3546"/>
    <n v="3441.3719620000002"/>
    <b v="1"/>
    <n v="4"/>
    <b v="0"/>
    <n v="64595.063920000001"/>
    <n v="2387.5"/>
    <n v="5193"/>
    <s v="Overstock"/>
    <n v="0.28607329842931939"/>
    <s v="Fast"/>
    <n v="5.0386119502196198"/>
    <n v="0.45975351434623529"/>
    <s v="Optimal"/>
    <n v="0"/>
  </r>
  <r>
    <x v="1033"/>
    <s v="West"/>
    <x v="1"/>
    <s v="Supplier D"/>
    <x v="1"/>
    <x v="0"/>
    <n v="951"/>
    <n v="1229"/>
    <n v="2087.6191020000001"/>
    <b v="1"/>
    <n v="7"/>
    <b v="0"/>
    <n v="146160.64629999999"/>
    <n v="1030"/>
    <n v="7165"/>
    <s v="Overstock"/>
    <n v="0.92330097087378638"/>
    <s v="Fast"/>
    <n v="2.1951830725552051"/>
    <n v="0.14375436147941381"/>
    <s v="Under Utilized"/>
    <n v="0"/>
  </r>
  <r>
    <x v="1034"/>
    <s v="North"/>
    <x v="3"/>
    <s v="Supplier D"/>
    <x v="0"/>
    <x v="0"/>
    <n v="399"/>
    <n v="831"/>
    <n v="8118.9543320000002"/>
    <b v="1"/>
    <n v="20"/>
    <b v="0"/>
    <n v="69903.896399999998"/>
    <n v="1924.5"/>
    <n v="6489"/>
    <s v="Understock"/>
    <n v="0.2073265783320343"/>
    <s v="Slow"/>
    <n v="20.348256471177944"/>
    <n v="0.2965788257050393"/>
    <s v="Under Utilized"/>
    <n v="0"/>
  </r>
  <r>
    <x v="1035"/>
    <s v="South"/>
    <x v="0"/>
    <s v="Supplier B"/>
    <x v="2"/>
    <x v="0"/>
    <n v="502"/>
    <n v="3018"/>
    <n v="2310.6161149999998"/>
    <b v="1"/>
    <n v="24"/>
    <b v="0"/>
    <n v="29941.23676"/>
    <n v="3101"/>
    <n v="9748"/>
    <s v="Understock"/>
    <n v="0.1618832634633989"/>
    <s v="Slow"/>
    <n v="4.6028209462151395"/>
    <n v="0.31811653672548212"/>
    <s v="Under Utilized"/>
    <n v="0"/>
  </r>
  <r>
    <x v="1036"/>
    <s v="West"/>
    <x v="3"/>
    <s v="Supplier A"/>
    <x v="1"/>
    <x v="2"/>
    <n v="712"/>
    <n v="3184"/>
    <n v="6250.5633289999996"/>
    <b v="1"/>
    <n v="29"/>
    <b v="1"/>
    <n v="87711.140429999999"/>
    <n v="3936"/>
    <n v="9580"/>
    <s v="Understock"/>
    <n v="0.18089430894308944"/>
    <s v="Slow"/>
    <n v="8.7788810800561787"/>
    <n v="0.41085594989561586"/>
    <s v="Optimal"/>
    <n v="1"/>
  </r>
  <r>
    <x v="1037"/>
    <s v="West"/>
    <x v="2"/>
    <s v="Supplier D"/>
    <x v="0"/>
    <x v="0"/>
    <n v="222"/>
    <n v="4688"/>
    <n v="14243.042960000001"/>
    <b v="1"/>
    <n v="4"/>
    <b v="0"/>
    <n v="43158.158029999999"/>
    <n v="4546"/>
    <n v="8741"/>
    <s v="Overstock"/>
    <n v="4.8834139903211615E-2"/>
    <s v="Fast"/>
    <n v="64.157851171171174"/>
    <n v="0.52007779430271139"/>
    <s v="Optimal"/>
    <n v="0"/>
  </r>
  <r>
    <x v="1038"/>
    <s v="North"/>
    <x v="3"/>
    <s v="Supplier D"/>
    <x v="2"/>
    <x v="0"/>
    <n v="431"/>
    <n v="4404"/>
    <n v="6316.6455580000002"/>
    <b v="1"/>
    <n v="7"/>
    <b v="1"/>
    <n v="70223.223360000004"/>
    <n v="3649.5"/>
    <n v="8500"/>
    <s v="Overstock"/>
    <n v="0.11809836963967667"/>
    <s v="Fast"/>
    <n v="14.655790157772623"/>
    <n v="0.4293529411764706"/>
    <s v="Optimal"/>
    <n v="1"/>
  </r>
  <r>
    <x v="1039"/>
    <s v="East"/>
    <x v="3"/>
    <s v="Supplier B"/>
    <x v="1"/>
    <x v="0"/>
    <n v="220"/>
    <n v="2895"/>
    <n v="3246.9297809999998"/>
    <b v="0"/>
    <n v="26"/>
    <b v="0"/>
    <n v="34031.76208"/>
    <n v="1891"/>
    <n v="6459"/>
    <s v="Overstock"/>
    <n v="0.11634056054997356"/>
    <s v="Slow"/>
    <n v="14.758771731818181"/>
    <n v="0.29276977860349901"/>
    <s v="Under Utilized"/>
    <n v="0"/>
  </r>
  <r>
    <x v="1040"/>
    <s v="West"/>
    <x v="1"/>
    <s v="Supplier B"/>
    <x v="2"/>
    <x v="0"/>
    <n v="659"/>
    <n v="887"/>
    <n v="13109.43864"/>
    <b v="1"/>
    <n v="11"/>
    <b v="1"/>
    <n v="108283.27860000001"/>
    <n v="892.5"/>
    <n v="9758"/>
    <s v="Understock"/>
    <n v="0.73837535014005606"/>
    <s v="Medium"/>
    <n v="19.892926616084978"/>
    <n v="9.1463414634146339E-2"/>
    <s v="Under Utilized"/>
    <n v="1"/>
  </r>
  <r>
    <x v="1041"/>
    <s v="North"/>
    <x v="0"/>
    <s v="Supplier D"/>
    <x v="2"/>
    <x v="0"/>
    <n v="621"/>
    <n v="898"/>
    <n v="11048.059670000001"/>
    <b v="1"/>
    <n v="7"/>
    <b v="0"/>
    <n v="123141.65640000001"/>
    <n v="866"/>
    <n v="8876"/>
    <s v="Overstock"/>
    <n v="0.71709006928406471"/>
    <s v="Fast"/>
    <n v="17.790756312399356"/>
    <n v="9.756647138350609E-2"/>
    <s v="Under Utilized"/>
    <n v="0"/>
  </r>
  <r>
    <x v="1042"/>
    <s v="South"/>
    <x v="1"/>
    <s v="Supplier C"/>
    <x v="2"/>
    <x v="0"/>
    <n v="472"/>
    <n v="834"/>
    <n v="11420.22328"/>
    <b v="1"/>
    <n v="28"/>
    <b v="1"/>
    <n v="26461.80834"/>
    <n v="2510"/>
    <n v="6205"/>
    <s v="Understock"/>
    <n v="0.18804780876494023"/>
    <s v="Slow"/>
    <n v="24.195388305084744"/>
    <n v="0.40451248992747785"/>
    <s v="Optimal"/>
    <n v="1"/>
  </r>
  <r>
    <x v="1043"/>
    <s v="East"/>
    <x v="0"/>
    <s v="Supplier D"/>
    <x v="2"/>
    <x v="1"/>
    <n v="782"/>
    <n v="4186"/>
    <n v="10414.928910000001"/>
    <b v="1"/>
    <n v="2"/>
    <b v="0"/>
    <n v="45969.477350000001"/>
    <n v="3265"/>
    <n v="5154"/>
    <s v="Overstock"/>
    <n v="0.23950995405819295"/>
    <s v="Fast"/>
    <n v="13.318323414322251"/>
    <n v="0.63348855258051995"/>
    <s v="Optimal"/>
    <n v="0"/>
  </r>
  <r>
    <x v="1044"/>
    <s v="South"/>
    <x v="0"/>
    <s v="Supplier B"/>
    <x v="0"/>
    <x v="0"/>
    <n v="934"/>
    <n v="2344"/>
    <n v="8946.7397729999993"/>
    <b v="0"/>
    <n v="16"/>
    <b v="0"/>
    <n v="111566.8844"/>
    <n v="1311"/>
    <n v="9811"/>
    <s v="Overstock"/>
    <n v="0.71243325705568272"/>
    <s v="Slow"/>
    <n v="9.5789505064239826"/>
    <n v="0.13362552237284681"/>
    <s v="Under Utilized"/>
    <n v="0"/>
  </r>
  <r>
    <x v="1045"/>
    <s v="North"/>
    <x v="3"/>
    <s v="Supplier A"/>
    <x v="0"/>
    <x v="0"/>
    <n v="246"/>
    <n v="278"/>
    <n v="8142.227269"/>
    <b v="1"/>
    <n v="6"/>
    <b v="0"/>
    <n v="12907.55744"/>
    <n v="1827.5"/>
    <n v="9049"/>
    <s v="Understock"/>
    <n v="0.13461012311901505"/>
    <s v="Fast"/>
    <n v="33.09848483333333"/>
    <n v="0.20195601723947398"/>
    <s v="Under Utilized"/>
    <n v="0"/>
  </r>
  <r>
    <x v="1046"/>
    <s v="East"/>
    <x v="3"/>
    <s v="Supplier D"/>
    <x v="1"/>
    <x v="0"/>
    <n v="931"/>
    <n v="3377"/>
    <n v="9662.2623089999997"/>
    <b v="1"/>
    <n v="3"/>
    <b v="0"/>
    <n v="65369.154860000002"/>
    <n v="3608.5"/>
    <n v="9643"/>
    <s v="Understock"/>
    <n v="0.2580019398642095"/>
    <s v="Fast"/>
    <n v="10.378369827067669"/>
    <n v="0.37420927097376333"/>
    <s v="Under Utilized"/>
    <n v="0"/>
  </r>
  <r>
    <x v="1047"/>
    <s v="North"/>
    <x v="1"/>
    <s v="Supplier A"/>
    <x v="0"/>
    <x v="0"/>
    <n v="707"/>
    <n v="3840"/>
    <n v="9283.4290930000006"/>
    <b v="1"/>
    <n v="6"/>
    <b v="0"/>
    <n v="61219.090250000001"/>
    <n v="2557"/>
    <n v="5521"/>
    <s v="Overstock"/>
    <n v="0.27649589362534222"/>
    <s v="Fast"/>
    <n v="13.13073421923621"/>
    <n v="0.46314073537402645"/>
    <s v="Optimal"/>
    <n v="0"/>
  </r>
  <r>
    <x v="1048"/>
    <s v="East"/>
    <x v="0"/>
    <s v="Supplier A"/>
    <x v="1"/>
    <x v="0"/>
    <n v="279"/>
    <n v="1274"/>
    <n v="7953.3388629999999"/>
    <b v="1"/>
    <n v="24"/>
    <b v="0"/>
    <n v="41443.708720000002"/>
    <n v="1614.5"/>
    <n v="6565"/>
    <s v="Understock"/>
    <n v="0.17280891917002167"/>
    <s v="Slow"/>
    <n v="28.506590906810036"/>
    <n v="0.24592536176694593"/>
    <s v="Under Utilized"/>
    <n v="0"/>
  </r>
  <r>
    <x v="1049"/>
    <s v="East"/>
    <x v="0"/>
    <s v="Supplier D"/>
    <x v="1"/>
    <x v="0"/>
    <n v="507"/>
    <n v="1955"/>
    <n v="10950.51412"/>
    <b v="1"/>
    <n v="15"/>
    <b v="0"/>
    <n v="29963.871289999999"/>
    <n v="1943"/>
    <n v="8972"/>
    <s v="Overstock"/>
    <n v="0.26093669583118889"/>
    <s v="Slow"/>
    <n v="21.59864717948718"/>
    <n v="0.21656263932233616"/>
    <s v="Under Utilized"/>
    <n v="0"/>
  </r>
  <r>
    <x v="1050"/>
    <s v="West"/>
    <x v="2"/>
    <s v="Supplier C"/>
    <x v="0"/>
    <x v="2"/>
    <n v="847"/>
    <n v="1931"/>
    <n v="862.26919310000005"/>
    <b v="1"/>
    <n v="15"/>
    <b v="0"/>
    <n v="163970.7861"/>
    <n v="1834.5"/>
    <n v="8472"/>
    <s v="Overstock"/>
    <n v="0.46170618697192695"/>
    <s v="Slow"/>
    <n v="1.0180273826446282"/>
    <n v="0.21653682719546744"/>
    <s v="Under Utilized"/>
    <n v="0"/>
  </r>
  <r>
    <x v="1051"/>
    <s v="North"/>
    <x v="0"/>
    <s v="Supplier B"/>
    <x v="1"/>
    <x v="2"/>
    <n v="362"/>
    <n v="1738"/>
    <n v="9650.2162019999996"/>
    <b v="0"/>
    <n v="26"/>
    <b v="0"/>
    <n v="43903.547270000003"/>
    <n v="1314"/>
    <n v="7851"/>
    <s v="Overstock"/>
    <n v="0.27549467275494671"/>
    <s v="Slow"/>
    <n v="26.658055806629832"/>
    <n v="0.1673672143675965"/>
    <s v="Under Utilized"/>
    <n v="0"/>
  </r>
  <r>
    <x v="1052"/>
    <s v="East"/>
    <x v="1"/>
    <s v="Supplier C"/>
    <x v="1"/>
    <x v="0"/>
    <n v="174"/>
    <n v="890"/>
    <n v="4186.757834"/>
    <b v="1"/>
    <n v="7"/>
    <b v="0"/>
    <n v="29233.643960000001"/>
    <n v="780.5"/>
    <n v="5027"/>
    <s v="Overstock"/>
    <n v="0.22293401665598975"/>
    <s v="Fast"/>
    <n v="24.061826632183909"/>
    <n v="0.1552615874278894"/>
    <s v="Under Utilized"/>
    <n v="0"/>
  </r>
  <r>
    <x v="1053"/>
    <s v="East"/>
    <x v="1"/>
    <s v="Supplier D"/>
    <x v="1"/>
    <x v="0"/>
    <n v="152"/>
    <n v="671"/>
    <n v="5341.5858369999996"/>
    <b v="1"/>
    <n v="19"/>
    <b v="0"/>
    <n v="18760.35842"/>
    <n v="1276"/>
    <n v="9506"/>
    <s v="Understock"/>
    <n v="0.11912225705329153"/>
    <s v="Slow"/>
    <n v="35.142012085526311"/>
    <n v="0.13423101199242585"/>
    <s v="Under Utilized"/>
    <n v="0"/>
  </r>
  <r>
    <x v="1054"/>
    <s v="East"/>
    <x v="1"/>
    <s v="Supplier A"/>
    <x v="1"/>
    <x v="1"/>
    <n v="420"/>
    <n v="1881"/>
    <n v="10239.073350000001"/>
    <b v="1"/>
    <n v="4"/>
    <b v="0"/>
    <n v="63920.990980000002"/>
    <n v="2591"/>
    <n v="6604"/>
    <s v="Understock"/>
    <n v="0.16209957545349285"/>
    <s v="Fast"/>
    <n v="24.378746071428573"/>
    <n v="0.39233797698364625"/>
    <s v="Under Utilized"/>
    <n v="0"/>
  </r>
  <r>
    <x v="1055"/>
    <s v="West"/>
    <x v="1"/>
    <s v="Supplier B"/>
    <x v="1"/>
    <x v="0"/>
    <n v="925"/>
    <n v="3301"/>
    <n v="6969.1642190000002"/>
    <b v="0"/>
    <n v="2"/>
    <b v="0"/>
    <n v="148130.8806"/>
    <n v="1799.5"/>
    <n v="9773"/>
    <s v="Overstock"/>
    <n v="0.51403167546540707"/>
    <s v="Fast"/>
    <n v="7.5342315881081081"/>
    <n v="0.18412974521641257"/>
    <s v="Under Utilized"/>
    <n v="0"/>
  </r>
  <r>
    <x v="1056"/>
    <s v="West"/>
    <x v="2"/>
    <s v="Supplier D"/>
    <x v="0"/>
    <x v="0"/>
    <n v="553"/>
    <n v="298"/>
    <n v="5602.9816760000003"/>
    <b v="1"/>
    <n v="29"/>
    <b v="0"/>
    <n v="52705.018150000004"/>
    <n v="235"/>
    <n v="9044"/>
    <s v="Overstock"/>
    <n v="2.3531914893617021"/>
    <s v="Slow"/>
    <n v="10.131974097649186"/>
    <n v="2.598407784166298E-2"/>
    <s v="Under Utilized"/>
    <n v="0"/>
  </r>
  <r>
    <x v="1057"/>
    <s v="West"/>
    <x v="1"/>
    <s v="Supplier A"/>
    <x v="0"/>
    <x v="0"/>
    <n v="632"/>
    <n v="172"/>
    <n v="14096.091179999999"/>
    <b v="1"/>
    <n v="19"/>
    <b v="0"/>
    <n v="69099.497929999998"/>
    <n v="2179.5"/>
    <n v="6834"/>
    <s v="Understock"/>
    <n v="0.28997476485432438"/>
    <s v="Slow"/>
    <n v="22.303941740506328"/>
    <n v="0.31892010535557508"/>
    <s v="Under Utilized"/>
    <n v="0"/>
  </r>
  <r>
    <x v="1058"/>
    <s v="North"/>
    <x v="0"/>
    <s v="Supplier A"/>
    <x v="0"/>
    <x v="0"/>
    <n v="825"/>
    <n v="4187"/>
    <n v="2489.7936260000001"/>
    <b v="1"/>
    <n v="23"/>
    <b v="0"/>
    <n v="55351.283730000003"/>
    <n v="2417.5"/>
    <n v="8009"/>
    <s v="Overstock"/>
    <n v="0.34126163391933817"/>
    <s v="Slow"/>
    <n v="3.0179316678787882"/>
    <n v="0.30184792108877512"/>
    <s v="Under Utilized"/>
    <n v="0"/>
  </r>
  <r>
    <x v="1059"/>
    <s v="West"/>
    <x v="1"/>
    <s v="Supplier A"/>
    <x v="1"/>
    <x v="0"/>
    <n v="606"/>
    <n v="648"/>
    <n v="8805.0277279999991"/>
    <b v="1"/>
    <n v="10"/>
    <b v="1"/>
    <n v="30866.147349999999"/>
    <n v="2043.5"/>
    <n v="7501"/>
    <s v="Understock"/>
    <n v="0.29655003670173724"/>
    <s v="Medium"/>
    <n v="14.529748726072606"/>
    <n v="0.27243034262098387"/>
    <s v="Under Utilized"/>
    <n v="1"/>
  </r>
  <r>
    <x v="1060"/>
    <s v="North"/>
    <x v="3"/>
    <s v="Supplier C"/>
    <x v="2"/>
    <x v="2"/>
    <n v="536"/>
    <n v="3439"/>
    <n v="7765.0834359999999"/>
    <b v="1"/>
    <n v="14"/>
    <b v="0"/>
    <n v="66657.159209999998"/>
    <n v="4143.5"/>
    <n v="6197"/>
    <s v="Understock"/>
    <n v="0.12935923735972005"/>
    <s v="Medium"/>
    <n v="14.487095962686567"/>
    <n v="0.66862998224947556"/>
    <s v="Optimal"/>
    <n v="0"/>
  </r>
  <r>
    <x v="1061"/>
    <s v="East"/>
    <x v="3"/>
    <s v="Supplier D"/>
    <x v="2"/>
    <x v="0"/>
    <n v="250"/>
    <n v="4848"/>
    <n v="11183.983609999999"/>
    <b v="1"/>
    <n v="12"/>
    <b v="0"/>
    <n v="37048.468719999997"/>
    <n v="4709.5"/>
    <n v="9611"/>
    <s v="Overstock"/>
    <n v="5.3084191527763031E-2"/>
    <s v="Medium"/>
    <n v="44.735934439999994"/>
    <n v="0.49001144521901985"/>
    <s v="Optimal"/>
    <n v="0"/>
  </r>
  <r>
    <x v="1062"/>
    <s v="North"/>
    <x v="3"/>
    <s v="Supplier B"/>
    <x v="2"/>
    <x v="0"/>
    <n v="208"/>
    <n v="4571"/>
    <n v="13105.60836"/>
    <b v="1"/>
    <n v="13"/>
    <b v="0"/>
    <n v="11845.381460000001"/>
    <n v="2929"/>
    <n v="8478"/>
    <s v="Overstock"/>
    <n v="7.1013997951519289E-2"/>
    <s v="Medium"/>
    <n v="63.007732500000003"/>
    <n v="0.3454824251002595"/>
    <s v="Under Utilized"/>
    <n v="0"/>
  </r>
  <r>
    <x v="1063"/>
    <s v="North"/>
    <x v="1"/>
    <s v="Supplier C"/>
    <x v="1"/>
    <x v="2"/>
    <n v="220"/>
    <n v="1287"/>
    <n v="7662.6976629999999"/>
    <b v="1"/>
    <n v="12"/>
    <b v="1"/>
    <n v="34830.53686"/>
    <n v="2483.5"/>
    <n v="7934"/>
    <s v="Understock"/>
    <n v="8.8584658747735051E-2"/>
    <s v="Medium"/>
    <n v="34.83044392272727"/>
    <n v="0.31301991429291653"/>
    <s v="Under Utilized"/>
    <n v="1"/>
  </r>
  <r>
    <x v="1064"/>
    <s v="North"/>
    <x v="3"/>
    <s v="Supplier C"/>
    <x v="0"/>
    <x v="0"/>
    <n v="832"/>
    <n v="3680"/>
    <n v="14754.43814"/>
    <b v="1"/>
    <n v="24"/>
    <b v="1"/>
    <n v="59789.619299999998"/>
    <n v="3156"/>
    <n v="7121"/>
    <s v="Overstock"/>
    <n v="0.26362484157160965"/>
    <s v="Slow"/>
    <n v="17.7336996875"/>
    <n v="0.44319618031175395"/>
    <s v="Optimal"/>
    <n v="1"/>
  </r>
  <r>
    <x v="1065"/>
    <s v="East"/>
    <x v="0"/>
    <s v="Supplier B"/>
    <x v="1"/>
    <x v="0"/>
    <n v="841"/>
    <n v="2632"/>
    <n v="14605.508669999999"/>
    <b v="1"/>
    <n v="17"/>
    <b v="0"/>
    <n v="22043.196820000001"/>
    <n v="2523"/>
    <n v="6376"/>
    <s v="Overstock"/>
    <n v="0.33333333333333331"/>
    <s v="Slow"/>
    <n v="17.366835517241377"/>
    <n v="0.39570263488080298"/>
    <s v="Under Utilized"/>
    <n v="0"/>
  </r>
  <r>
    <x v="1066"/>
    <s v="North"/>
    <x v="0"/>
    <s v="Supplier B"/>
    <x v="0"/>
    <x v="0"/>
    <n v="185"/>
    <n v="2414"/>
    <n v="10878.17093"/>
    <b v="0"/>
    <n v="17"/>
    <b v="0"/>
    <n v="14858.57806"/>
    <n v="1827"/>
    <n v="5828"/>
    <s v="Overstock"/>
    <n v="0.10125889436234264"/>
    <s v="Slow"/>
    <n v="58.800923945945947"/>
    <n v="0.3134866163349348"/>
    <s v="Under Utilized"/>
    <n v="0"/>
  </r>
  <r>
    <x v="1067"/>
    <s v="North"/>
    <x v="1"/>
    <s v="Supplier D"/>
    <x v="2"/>
    <x v="0"/>
    <n v="807"/>
    <n v="1240"/>
    <n v="2525.5394030000002"/>
    <b v="1"/>
    <n v="17"/>
    <b v="1"/>
    <n v="109650.9118"/>
    <n v="2978"/>
    <n v="6822"/>
    <s v="Understock"/>
    <n v="0.27098723975822697"/>
    <s v="Slow"/>
    <n v="3.1295407719950434"/>
    <n v="0.43652887716212252"/>
    <s v="Optimal"/>
    <n v="1"/>
  </r>
  <r>
    <x v="1068"/>
    <s v="North"/>
    <x v="3"/>
    <s v="Supplier B"/>
    <x v="1"/>
    <x v="0"/>
    <n v="820"/>
    <n v="4716"/>
    <n v="672.81075320000002"/>
    <b v="1"/>
    <n v="9"/>
    <b v="0"/>
    <n v="123909.8011"/>
    <n v="4551"/>
    <n v="7709"/>
    <s v="Overstock"/>
    <n v="0.18018018018018017"/>
    <s v="Medium"/>
    <n v="0.82050091853658536"/>
    <n v="0.59034894279413674"/>
    <s v="Optimal"/>
    <n v="0"/>
  </r>
  <r>
    <x v="1069"/>
    <s v="West"/>
    <x v="3"/>
    <s v="Supplier B"/>
    <x v="1"/>
    <x v="0"/>
    <n v="336"/>
    <n v="4386"/>
    <n v="1986.673374"/>
    <b v="1"/>
    <n v="9"/>
    <b v="0"/>
    <n v="65889.124819999997"/>
    <n v="2276"/>
    <n v="5760"/>
    <s v="Overstock"/>
    <n v="0.14762741652021089"/>
    <s v="Medium"/>
    <n v="5.9127183749999999"/>
    <n v="0.39513888888888887"/>
    <s v="Under Utilized"/>
    <n v="0"/>
  </r>
  <r>
    <x v="1070"/>
    <s v="West"/>
    <x v="2"/>
    <s v="Supplier A"/>
    <x v="2"/>
    <x v="1"/>
    <n v="243"/>
    <n v="166"/>
    <n v="10170.57179"/>
    <b v="1"/>
    <n v="22"/>
    <b v="0"/>
    <n v="33969.381540000002"/>
    <n v="2489"/>
    <n v="6810"/>
    <s v="Understock"/>
    <n v="9.7629570108477295E-2"/>
    <s v="Slow"/>
    <n v="41.854204897119338"/>
    <n v="0.36549192364170335"/>
    <s v="Under Utilized"/>
    <n v="0"/>
  </r>
  <r>
    <x v="1071"/>
    <s v="West"/>
    <x v="3"/>
    <s v="Supplier D"/>
    <x v="0"/>
    <x v="0"/>
    <n v="286"/>
    <n v="4812"/>
    <n v="5474.2501220000004"/>
    <b v="1"/>
    <n v="10"/>
    <b v="1"/>
    <n v="34526.912859999997"/>
    <n v="4086"/>
    <n v="7707"/>
    <s v="Overstock"/>
    <n v="6.999510523739598E-2"/>
    <s v="Medium"/>
    <n v="19.140734692307692"/>
    <n v="0.53016738030362009"/>
    <s v="Optimal"/>
    <n v="1"/>
  </r>
  <r>
    <x v="1072"/>
    <s v="North"/>
    <x v="2"/>
    <s v="Supplier A"/>
    <x v="2"/>
    <x v="1"/>
    <n v="913"/>
    <n v="3360"/>
    <n v="1327.8679"/>
    <b v="1"/>
    <n v="16"/>
    <b v="0"/>
    <n v="78489.554799999998"/>
    <n v="3016"/>
    <n v="6192"/>
    <s v="Overstock"/>
    <n v="0.30271883289124668"/>
    <s v="Slow"/>
    <n v="1.4544007667031762"/>
    <n v="0.48708010335917312"/>
    <s v="Optimal"/>
    <n v="0"/>
  </r>
  <r>
    <x v="1073"/>
    <s v="South"/>
    <x v="2"/>
    <s v="Supplier A"/>
    <x v="0"/>
    <x v="2"/>
    <n v="333"/>
    <n v="2672"/>
    <n v="4950.5005579999997"/>
    <b v="1"/>
    <n v="23"/>
    <b v="0"/>
    <n v="30655.269660000002"/>
    <n v="3224"/>
    <n v="6274"/>
    <s v="Understock"/>
    <n v="0.103287841191067"/>
    <s v="Slow"/>
    <n v="14.866368042042041"/>
    <n v="0.51386675167357343"/>
    <s v="Optimal"/>
    <n v="0"/>
  </r>
  <r>
    <x v="1074"/>
    <s v="West"/>
    <x v="2"/>
    <s v="Supplier D"/>
    <x v="0"/>
    <x v="1"/>
    <n v="907"/>
    <n v="3776"/>
    <n v="10643.246740000001"/>
    <b v="1"/>
    <n v="24"/>
    <b v="0"/>
    <n v="43362.565739999998"/>
    <n v="3858.5"/>
    <n v="8665"/>
    <s v="Understock"/>
    <n v="0.23506543993779966"/>
    <s v="Slow"/>
    <n v="11.734560904079384"/>
    <n v="0.44529717253317946"/>
    <s v="Optimal"/>
    <n v="0"/>
  </r>
  <r>
    <x v="1075"/>
    <s v="North"/>
    <x v="2"/>
    <s v="Supplier C"/>
    <x v="1"/>
    <x v="1"/>
    <n v="478"/>
    <n v="3941"/>
    <n v="11368.410680000001"/>
    <b v="1"/>
    <n v="16"/>
    <b v="0"/>
    <n v="38466.885249999999"/>
    <n v="2331.5"/>
    <n v="9271"/>
    <s v="Overstock"/>
    <n v="0.20501822860819216"/>
    <s v="Slow"/>
    <n v="23.783285941422594"/>
    <n v="0.25148311940459495"/>
    <s v="Under Utilized"/>
    <n v="0"/>
  </r>
  <r>
    <x v="1076"/>
    <s v="East"/>
    <x v="3"/>
    <s v="Supplier D"/>
    <x v="1"/>
    <x v="0"/>
    <n v="437"/>
    <n v="722"/>
    <n v="12344.9092"/>
    <b v="0"/>
    <n v="15"/>
    <b v="0"/>
    <n v="46757.278550000003"/>
    <n v="1251.5"/>
    <n v="8473"/>
    <s v="Understock"/>
    <n v="0.34918098282061527"/>
    <s v="Slow"/>
    <n v="28.249220137299773"/>
    <n v="0.14770447303198395"/>
    <s v="Under Utilized"/>
    <n v="0"/>
  </r>
  <r>
    <x v="1077"/>
    <s v="South"/>
    <x v="2"/>
    <s v="Supplier D"/>
    <x v="2"/>
    <x v="0"/>
    <n v="239"/>
    <n v="1781"/>
    <n v="10096.25556"/>
    <b v="1"/>
    <n v="6"/>
    <b v="0"/>
    <n v="42179.559520000003"/>
    <n v="1334"/>
    <n v="9578"/>
    <s v="Overstock"/>
    <n v="0.17916041979010494"/>
    <s v="Fast"/>
    <n v="42.243747112970709"/>
    <n v="0.13927751096262267"/>
    <s v="Under Utilized"/>
    <n v="0"/>
  </r>
  <r>
    <x v="1078"/>
    <s v="North"/>
    <x v="1"/>
    <s v="Supplier B"/>
    <x v="0"/>
    <x v="2"/>
    <n v="961"/>
    <n v="887"/>
    <n v="14725.1505"/>
    <b v="1"/>
    <n v="29"/>
    <b v="0"/>
    <n v="183479.5191"/>
    <n v="2159.5"/>
    <n v="7104"/>
    <s v="Understock"/>
    <n v="0.44501041907849037"/>
    <s v="Slow"/>
    <n v="15.322737252861602"/>
    <n v="0.30398367117117114"/>
    <s v="Under Utilized"/>
    <n v="0"/>
  </r>
  <r>
    <x v="1079"/>
    <s v="West"/>
    <x v="0"/>
    <s v="Supplier A"/>
    <x v="0"/>
    <x v="0"/>
    <n v="781"/>
    <n v="3432"/>
    <n v="13751.20621"/>
    <b v="1"/>
    <n v="29"/>
    <b v="0"/>
    <n v="133496.46919999999"/>
    <n v="1837"/>
    <n v="7739"/>
    <s v="Overstock"/>
    <n v="0.42514970059880242"/>
    <s v="Slow"/>
    <n v="17.607178245838668"/>
    <n v="0.23736916914330017"/>
    <s v="Under Utilized"/>
    <n v="0"/>
  </r>
  <r>
    <x v="1080"/>
    <s v="North"/>
    <x v="1"/>
    <s v="Supplier A"/>
    <x v="2"/>
    <x v="0"/>
    <n v="769"/>
    <n v="242"/>
    <n v="5404.3490259999999"/>
    <b v="1"/>
    <n v="13"/>
    <b v="0"/>
    <n v="117243.5529"/>
    <n v="306.5"/>
    <n v="8542"/>
    <s v="Understock"/>
    <n v="2.5089722675367048"/>
    <s v="Medium"/>
    <n v="7.0277620624187254"/>
    <n v="3.5881526574572699E-2"/>
    <s v="Under Utilized"/>
    <n v="0"/>
  </r>
  <r>
    <x v="1081"/>
    <s v="West"/>
    <x v="3"/>
    <s v="Supplier B"/>
    <x v="2"/>
    <x v="0"/>
    <n v="236"/>
    <n v="371"/>
    <n v="14006.445390000001"/>
    <b v="1"/>
    <n v="19"/>
    <b v="0"/>
    <n v="27130.906879999999"/>
    <n v="1875.5"/>
    <n v="8945"/>
    <s v="Understock"/>
    <n v="0.12583311117035456"/>
    <s v="Slow"/>
    <n v="59.34934487288136"/>
    <n v="0.2096702068194522"/>
    <s v="Under Utilized"/>
    <n v="0"/>
  </r>
  <r>
    <x v="1082"/>
    <s v="South"/>
    <x v="0"/>
    <s v="Supplier B"/>
    <x v="1"/>
    <x v="0"/>
    <n v="857"/>
    <n v="3380"/>
    <n v="6270.4250229999998"/>
    <b v="1"/>
    <n v="23"/>
    <b v="0"/>
    <n v="156587.95619999999"/>
    <n v="2445.5"/>
    <n v="7589"/>
    <s v="Overstock"/>
    <n v="0.35043958290738092"/>
    <s v="Slow"/>
    <n v="7.3167153127187863"/>
    <n v="0.32224271972591911"/>
    <s v="Under Utilized"/>
    <n v="0"/>
  </r>
  <r>
    <x v="1083"/>
    <s v="North"/>
    <x v="3"/>
    <s v="Supplier C"/>
    <x v="0"/>
    <x v="0"/>
    <n v="885"/>
    <n v="1511"/>
    <n v="4489.9666310000002"/>
    <b v="1"/>
    <n v="1"/>
    <b v="0"/>
    <n v="24622.580040000001"/>
    <n v="2139.5"/>
    <n v="8043"/>
    <s v="Understock"/>
    <n v="0.41364804860948817"/>
    <s v="Fast"/>
    <n v="5.0734086225988699"/>
    <n v="0.26600770856645528"/>
    <s v="Under Utilized"/>
    <n v="0"/>
  </r>
  <r>
    <x v="1084"/>
    <s v="West"/>
    <x v="0"/>
    <s v="Supplier D"/>
    <x v="2"/>
    <x v="0"/>
    <n v="800"/>
    <n v="2768"/>
    <n v="14229.762849999999"/>
    <b v="1"/>
    <n v="6"/>
    <b v="0"/>
    <n v="16977.119630000001"/>
    <n v="2029.5"/>
    <n v="9531"/>
    <s v="Overstock"/>
    <n v="0.39418576003941858"/>
    <s v="Fast"/>
    <n v="17.7872035625"/>
    <n v="0.21293673276676109"/>
    <s v="Under Utilized"/>
    <n v="0"/>
  </r>
  <r>
    <x v="1085"/>
    <s v="East"/>
    <x v="3"/>
    <s v="Supplier A"/>
    <x v="2"/>
    <x v="0"/>
    <n v="512"/>
    <n v="1291"/>
    <n v="11871.93384"/>
    <b v="1"/>
    <n v="15"/>
    <b v="0"/>
    <n v="67653.181330000007"/>
    <n v="2838.5"/>
    <n v="8545"/>
    <s v="Understock"/>
    <n v="0.18037695966179321"/>
    <s v="Slow"/>
    <n v="23.187370781249999"/>
    <n v="0.33218256290228204"/>
    <s v="Under Utilized"/>
    <n v="0"/>
  </r>
  <r>
    <x v="1086"/>
    <s v="South"/>
    <x v="2"/>
    <s v="Supplier D"/>
    <x v="1"/>
    <x v="2"/>
    <n v="929"/>
    <n v="4386"/>
    <n v="7222.5200779999996"/>
    <b v="0"/>
    <n v="24"/>
    <b v="0"/>
    <n v="32748.330419999998"/>
    <n v="2500.5"/>
    <n v="8735"/>
    <s v="Overstock"/>
    <n v="0.37152569486102782"/>
    <s v="Slow"/>
    <n v="7.774510310010764"/>
    <n v="0.28626216370921581"/>
    <s v="Under Utilized"/>
    <n v="0"/>
  </r>
  <r>
    <x v="1087"/>
    <s v="West"/>
    <x v="2"/>
    <s v="Supplier B"/>
    <x v="2"/>
    <x v="2"/>
    <n v="982"/>
    <n v="615"/>
    <n v="12945.79126"/>
    <b v="1"/>
    <n v="28"/>
    <b v="0"/>
    <n v="163735.8793"/>
    <n v="596.5"/>
    <n v="6955"/>
    <s v="Overstock"/>
    <n v="1.6462699077954737"/>
    <s v="Slow"/>
    <n v="13.183086822810591"/>
    <n v="8.5765636232925949E-2"/>
    <s v="Under Utilized"/>
    <n v="0"/>
  </r>
  <r>
    <x v="1088"/>
    <s v="East"/>
    <x v="3"/>
    <s v="Supplier A"/>
    <x v="2"/>
    <x v="2"/>
    <n v="447"/>
    <n v="578"/>
    <n v="12463.012129999999"/>
    <b v="1"/>
    <n v="13"/>
    <b v="0"/>
    <n v="72501.369149999999"/>
    <n v="2577"/>
    <n v="5215"/>
    <s v="Understock"/>
    <n v="0.17345750873108265"/>
    <s v="Medium"/>
    <n v="27.881458903803129"/>
    <n v="0.4941514860977948"/>
    <s v="Optimal"/>
    <n v="0"/>
  </r>
  <r>
    <x v="1089"/>
    <s v="West"/>
    <x v="1"/>
    <s v="Supplier D"/>
    <x v="0"/>
    <x v="0"/>
    <n v="177"/>
    <n v="4576"/>
    <n v="9094.0929660000002"/>
    <b v="1"/>
    <n v="23"/>
    <b v="0"/>
    <n v="25224.0393"/>
    <n v="3227.5"/>
    <n v="5284"/>
    <s v="Overstock"/>
    <n v="5.4841208365608053E-2"/>
    <s v="Slow"/>
    <n v="51.379056305084745"/>
    <n v="0.61080620741862224"/>
    <s v="Optimal"/>
    <n v="0"/>
  </r>
  <r>
    <x v="1090"/>
    <s v="East"/>
    <x v="0"/>
    <s v="Supplier D"/>
    <x v="0"/>
    <x v="2"/>
    <n v="875"/>
    <n v="1879"/>
    <n v="1431.4593500000001"/>
    <b v="1"/>
    <n v="5"/>
    <b v="0"/>
    <n v="147177.22760000001"/>
    <n v="2313"/>
    <n v="8088"/>
    <s v="Understock"/>
    <n v="0.37829658452226544"/>
    <s v="Fast"/>
    <n v="1.635953542857143"/>
    <n v="0.28597922848664686"/>
    <s v="Under Utilized"/>
    <n v="0"/>
  </r>
  <r>
    <x v="1091"/>
    <s v="South"/>
    <x v="2"/>
    <s v="Supplier D"/>
    <x v="0"/>
    <x v="1"/>
    <n v="190"/>
    <n v="2747"/>
    <n v="1906.7641639999999"/>
    <b v="1"/>
    <n v="4"/>
    <b v="0"/>
    <n v="17778.943459999999"/>
    <n v="1560"/>
    <n v="5734"/>
    <s v="Overstock"/>
    <n v="0.12179487179487179"/>
    <s v="Fast"/>
    <n v="10.035600863157894"/>
    <n v="0.27206138821067316"/>
    <s v="Under Utilized"/>
    <n v="0"/>
  </r>
  <r>
    <x v="1092"/>
    <s v="West"/>
    <x v="0"/>
    <s v="Supplier B"/>
    <x v="2"/>
    <x v="0"/>
    <n v="213"/>
    <n v="373"/>
    <n v="3583.6321539999999"/>
    <b v="1"/>
    <n v="14"/>
    <b v="0"/>
    <n v="34443.176599999999"/>
    <n v="1256.5"/>
    <n v="6447"/>
    <s v="Understock"/>
    <n v="0.16951850378034222"/>
    <s v="Medium"/>
    <n v="16.824564103286384"/>
    <n v="0.19489685124864278"/>
    <s v="Under Utilized"/>
    <n v="0"/>
  </r>
  <r>
    <x v="1093"/>
    <s v="South"/>
    <x v="0"/>
    <s v="Supplier A"/>
    <x v="1"/>
    <x v="0"/>
    <n v="849"/>
    <n v="2140"/>
    <n v="9031.3024939999996"/>
    <b v="1"/>
    <n v="20"/>
    <b v="0"/>
    <n v="169257.5662"/>
    <n v="1636.5"/>
    <n v="9702"/>
    <s v="Overstock"/>
    <n v="0.51879010082493127"/>
    <s v="Slow"/>
    <n v="10.637576553592462"/>
    <n v="0.16867656153370439"/>
    <s v="Under Utilized"/>
    <n v="0"/>
  </r>
  <r>
    <x v="1094"/>
    <s v="South"/>
    <x v="1"/>
    <s v="Supplier C"/>
    <x v="0"/>
    <x v="0"/>
    <n v="404"/>
    <n v="1133"/>
    <n v="11401.02152"/>
    <b v="1"/>
    <n v="1"/>
    <b v="0"/>
    <n v="16686.072670000001"/>
    <n v="1117"/>
    <n v="7278"/>
    <s v="Overstock"/>
    <n v="0.36168307967770813"/>
    <s v="Fast"/>
    <n v="28.220350297029704"/>
    <n v="0.15347622973344324"/>
    <s v="Under Utilized"/>
    <n v="0"/>
  </r>
  <r>
    <x v="1095"/>
    <s v="South"/>
    <x v="3"/>
    <s v="Supplier B"/>
    <x v="2"/>
    <x v="0"/>
    <n v="114"/>
    <n v="1101"/>
    <n v="11634.207270000001"/>
    <b v="1"/>
    <n v="8"/>
    <b v="0"/>
    <n v="9636.5765919999994"/>
    <n v="1899.5"/>
    <n v="8662"/>
    <s v="Understock"/>
    <n v="6.0015793629902607E-2"/>
    <s v="Medium"/>
    <n v="102.05444973684212"/>
    <n v="0.21929115677672592"/>
    <s v="Under Utilized"/>
    <n v="0"/>
  </r>
  <r>
    <x v="1096"/>
    <s v="West"/>
    <x v="3"/>
    <s v="Supplier B"/>
    <x v="2"/>
    <x v="0"/>
    <n v="99"/>
    <n v="2698"/>
    <n v="4198.8547760000001"/>
    <b v="1"/>
    <n v="15"/>
    <b v="0"/>
    <n v="16044.324329999999"/>
    <n v="2156"/>
    <n v="8403"/>
    <s v="Overstock"/>
    <n v="4.5918367346938778E-2"/>
    <s v="Slow"/>
    <n v="42.412674505050504"/>
    <n v="0.25657503272640725"/>
    <s v="Under Utilized"/>
    <n v="0"/>
  </r>
  <r>
    <x v="1097"/>
    <s v="South"/>
    <x v="1"/>
    <s v="Supplier A"/>
    <x v="2"/>
    <x v="0"/>
    <n v="412"/>
    <n v="1614"/>
    <n v="8318.2706529999996"/>
    <b v="1"/>
    <n v="21"/>
    <b v="0"/>
    <n v="19755.312890000001"/>
    <n v="1891"/>
    <n v="8161"/>
    <s v="Understock"/>
    <n v="0.21787414066631411"/>
    <s v="Slow"/>
    <n v="20.189977313106795"/>
    <n v="0.23171180002450681"/>
    <s v="Under Utilized"/>
    <n v="0"/>
  </r>
  <r>
    <x v="1098"/>
    <s v="South"/>
    <x v="0"/>
    <s v="Supplier C"/>
    <x v="2"/>
    <x v="2"/>
    <n v="376"/>
    <n v="2168"/>
    <n v="7956.291663"/>
    <b v="1"/>
    <n v="27"/>
    <b v="0"/>
    <n v="10905.507019999999"/>
    <n v="1156"/>
    <n v="9934"/>
    <s v="Overstock"/>
    <n v="0.32525951557093424"/>
    <s v="Slow"/>
    <n v="21.16035016755319"/>
    <n v="0.11636802899134287"/>
    <s v="Under Utilized"/>
    <n v="0"/>
  </r>
  <r>
    <x v="1099"/>
    <s v="East"/>
    <x v="1"/>
    <s v="Supplier B"/>
    <x v="1"/>
    <x v="0"/>
    <n v="194"/>
    <n v="144"/>
    <n v="13250.20472"/>
    <b v="1"/>
    <n v="18"/>
    <b v="0"/>
    <n v="35881.462850000004"/>
    <n v="294"/>
    <n v="9995"/>
    <s v="Understock"/>
    <n v="0.65986394557823125"/>
    <s v="Slow"/>
    <n v="68.3000243298969"/>
    <n v="2.941470735367684E-2"/>
    <s v="Under Utilized"/>
    <n v="0"/>
  </r>
  <r>
    <x v="1100"/>
    <s v="North"/>
    <x v="3"/>
    <s v="Supplier D"/>
    <x v="2"/>
    <x v="0"/>
    <n v="430"/>
    <n v="444"/>
    <n v="10373.82273"/>
    <b v="1"/>
    <n v="1"/>
    <b v="0"/>
    <n v="55321.124530000001"/>
    <n v="1003"/>
    <n v="6638"/>
    <s v="Understock"/>
    <n v="0.42871385842472581"/>
    <s v="Fast"/>
    <n v="24.125169139534883"/>
    <n v="0.15109972883398615"/>
    <s v="Under Utilized"/>
    <n v="0"/>
  </r>
  <r>
    <x v="1101"/>
    <s v="South"/>
    <x v="2"/>
    <s v="Supplier C"/>
    <x v="2"/>
    <x v="0"/>
    <n v="366"/>
    <n v="1562"/>
    <n v="1830.775294"/>
    <b v="1"/>
    <n v="3"/>
    <b v="0"/>
    <n v="54675.086519999997"/>
    <n v="1766.5"/>
    <n v="7969"/>
    <s v="Understock"/>
    <n v="0.20718935748655534"/>
    <s v="Fast"/>
    <n v="5.0021182896174867"/>
    <n v="0.22167147697327141"/>
    <s v="Under Utilized"/>
    <n v="0"/>
  </r>
  <r>
    <x v="1102"/>
    <s v="West"/>
    <x v="2"/>
    <s v="Supplier B"/>
    <x v="0"/>
    <x v="0"/>
    <n v="969"/>
    <n v="1971"/>
    <n v="813.86063950000005"/>
    <b v="1"/>
    <n v="4"/>
    <b v="0"/>
    <n v="62841.015809999997"/>
    <n v="2524"/>
    <n v="7068"/>
    <s v="Understock"/>
    <n v="0.38391442155309036"/>
    <s v="Fast"/>
    <n v="0.83989746078431382"/>
    <n v="0.3571024335031126"/>
    <s v="Under Utilized"/>
    <n v="0"/>
  </r>
  <r>
    <x v="1103"/>
    <s v="South"/>
    <x v="1"/>
    <s v="Supplier D"/>
    <x v="0"/>
    <x v="2"/>
    <n v="921"/>
    <n v="3077"/>
    <n v="5542.8448440000002"/>
    <b v="1"/>
    <n v="17"/>
    <b v="0"/>
    <n v="20430.041069999999"/>
    <n v="3876.5"/>
    <n v="7827"/>
    <s v="Understock"/>
    <n v="0.23758545079324134"/>
    <s v="Slow"/>
    <n v="6.0182897328990226"/>
    <n v="0.4952727737319535"/>
    <s v="Optimal"/>
    <n v="0"/>
  </r>
  <r>
    <x v="1104"/>
    <s v="South"/>
    <x v="3"/>
    <s v="Supplier D"/>
    <x v="1"/>
    <x v="2"/>
    <n v="93"/>
    <n v="4676"/>
    <n v="6414.4910920000002"/>
    <b v="1"/>
    <n v="19"/>
    <b v="0"/>
    <n v="7959.8268319999997"/>
    <n v="4381"/>
    <n v="7180"/>
    <s v="Overstock"/>
    <n v="2.1228030130107281E-2"/>
    <s v="Slow"/>
    <n v="68.973022494623663"/>
    <n v="0.61016713091922004"/>
    <s v="Optimal"/>
    <n v="0"/>
  </r>
  <r>
    <x v="1105"/>
    <s v="South"/>
    <x v="0"/>
    <s v="Supplier A"/>
    <x v="1"/>
    <x v="0"/>
    <n v="481"/>
    <n v="4086"/>
    <n v="3733.642441"/>
    <b v="1"/>
    <n v="23"/>
    <b v="0"/>
    <n v="44079.397360000003"/>
    <n v="2925"/>
    <n v="9789"/>
    <s v="Overstock"/>
    <n v="0.16444444444444445"/>
    <s v="Slow"/>
    <n v="7.7622503970893968"/>
    <n v="0.29880478087649404"/>
    <s v="Under Utilized"/>
    <n v="0"/>
  </r>
  <r>
    <x v="1106"/>
    <s v="South"/>
    <x v="2"/>
    <s v="Supplier D"/>
    <x v="0"/>
    <x v="0"/>
    <n v="171"/>
    <n v="1764"/>
    <n v="1586.9206300000001"/>
    <b v="1"/>
    <n v="20"/>
    <b v="0"/>
    <n v="21114.483059999999"/>
    <n v="2376"/>
    <n v="7799"/>
    <s v="Understock"/>
    <n v="7.1969696969696975E-2"/>
    <s v="Slow"/>
    <n v="9.2802376023391826"/>
    <n v="0.30465444287729199"/>
    <s v="Under Utilized"/>
    <n v="0"/>
  </r>
  <r>
    <x v="1107"/>
    <s v="South"/>
    <x v="0"/>
    <s v="Supplier D"/>
    <x v="0"/>
    <x v="1"/>
    <n v="977"/>
    <n v="2988"/>
    <n v="14973.898660000001"/>
    <b v="1"/>
    <n v="22"/>
    <b v="0"/>
    <n v="174677.84020000001"/>
    <n v="3855.5"/>
    <n v="7727"/>
    <s v="Understock"/>
    <n v="0.2534042277266243"/>
    <s v="Slow"/>
    <n v="15.326405997952918"/>
    <n v="0.49896466934127087"/>
    <s v="Optimal"/>
    <n v="0"/>
  </r>
  <r>
    <x v="1108"/>
    <s v="West"/>
    <x v="2"/>
    <s v="Supplier A"/>
    <x v="1"/>
    <x v="0"/>
    <n v="724"/>
    <n v="4723"/>
    <n v="9986.1966990000001"/>
    <b v="1"/>
    <n v="12"/>
    <b v="0"/>
    <n v="142191.78950000001"/>
    <n v="4820.5"/>
    <n v="6350"/>
    <s v="Understock"/>
    <n v="0.15019188880821491"/>
    <s v="Medium"/>
    <n v="13.793089363259668"/>
    <n v="0.75913385826771651"/>
    <s v="Optimal"/>
    <n v="0"/>
  </r>
  <r>
    <x v="1109"/>
    <s v="West"/>
    <x v="2"/>
    <s v="Supplier C"/>
    <x v="0"/>
    <x v="2"/>
    <n v="661"/>
    <n v="4918"/>
    <n v="9241.9467980000009"/>
    <b v="0"/>
    <n v="7"/>
    <b v="0"/>
    <n v="131539.6715"/>
    <n v="2619"/>
    <n v="6474"/>
    <s v="Overstock"/>
    <n v="0.25238640702558229"/>
    <s v="Fast"/>
    <n v="13.981765201210289"/>
    <n v="0.4045412418906395"/>
    <s v="Optimal"/>
    <n v="0"/>
  </r>
  <r>
    <x v="1110"/>
    <s v="South"/>
    <x v="2"/>
    <s v="Supplier C"/>
    <x v="2"/>
    <x v="2"/>
    <n v="965"/>
    <n v="320"/>
    <n v="11941.893620000001"/>
    <b v="1"/>
    <n v="1"/>
    <b v="0"/>
    <n v="101879.80039999999"/>
    <n v="1090.5"/>
    <n v="9805"/>
    <s v="Understock"/>
    <n v="0.88491517652453"/>
    <s v="Fast"/>
    <n v="12.375019295336788"/>
    <n v="0.11121876593574707"/>
    <s v="Under Utilized"/>
    <n v="0"/>
  </r>
  <r>
    <x v="1111"/>
    <s v="West"/>
    <x v="0"/>
    <s v="Supplier D"/>
    <x v="1"/>
    <x v="0"/>
    <n v="964"/>
    <n v="1861"/>
    <n v="7228.0062090000001"/>
    <b v="1"/>
    <n v="6"/>
    <b v="0"/>
    <n v="169003.91440000001"/>
    <n v="3200.5"/>
    <n v="8096"/>
    <s v="Understock"/>
    <n v="0.3012029370410873"/>
    <s v="Fast"/>
    <n v="7.4979317520746891"/>
    <n v="0.39531867588932806"/>
    <s v="Under Utilized"/>
    <n v="0"/>
  </r>
  <r>
    <x v="1112"/>
    <s v="North"/>
    <x v="3"/>
    <s v="Supplier B"/>
    <x v="1"/>
    <x v="0"/>
    <n v="468"/>
    <n v="4540"/>
    <n v="6832.9883589999999"/>
    <b v="1"/>
    <n v="20"/>
    <b v="0"/>
    <n v="70143.699070000002"/>
    <n v="4096.5"/>
    <n v="6121"/>
    <s v="Overstock"/>
    <n v="0.11424386671548883"/>
    <s v="Slow"/>
    <n v="14.600402476495727"/>
    <n v="0.66925338996895933"/>
    <s v="Optimal"/>
    <n v="0"/>
  </r>
  <r>
    <x v="1113"/>
    <s v="South"/>
    <x v="3"/>
    <s v="Supplier B"/>
    <x v="2"/>
    <x v="0"/>
    <n v="386"/>
    <n v="3653"/>
    <n v="2973.7163070000001"/>
    <b v="1"/>
    <n v="29"/>
    <b v="0"/>
    <n v="52787.900390000003"/>
    <n v="4169.5"/>
    <n v="8378"/>
    <s v="Understock"/>
    <n v="9.257704760762682E-2"/>
    <s v="Slow"/>
    <n v="7.7039282564766847"/>
    <n v="0.49767247553115301"/>
    <s v="Optimal"/>
    <n v="0"/>
  </r>
  <r>
    <x v="1114"/>
    <s v="East"/>
    <x v="3"/>
    <s v="Supplier C"/>
    <x v="2"/>
    <x v="1"/>
    <n v="468"/>
    <n v="4686"/>
    <n v="12943.99847"/>
    <b v="1"/>
    <n v="11"/>
    <b v="0"/>
    <n v="32499.674490000001"/>
    <n v="3991.5"/>
    <n v="8734"/>
    <s v="Overstock"/>
    <n v="0.11724915445321307"/>
    <s v="Medium"/>
    <n v="27.658116388888889"/>
    <n v="0.45700709869475614"/>
    <s v="Optimal"/>
    <n v="0"/>
  </r>
  <r>
    <x v="1115"/>
    <s v="East"/>
    <x v="1"/>
    <s v="Supplier C"/>
    <x v="2"/>
    <x v="0"/>
    <n v="800"/>
    <n v="3297"/>
    <n v="14019.048049999999"/>
    <b v="0"/>
    <n v="13"/>
    <b v="0"/>
    <n v="88246.645600000003"/>
    <n v="4000"/>
    <n v="8631"/>
    <s v="Understock"/>
    <n v="0.2"/>
    <s v="Medium"/>
    <n v="17.523810062500001"/>
    <n v="0.4634457189201715"/>
    <s v="Optimal"/>
    <n v="0"/>
  </r>
  <r>
    <x v="1116"/>
    <s v="West"/>
    <x v="2"/>
    <s v="Supplier D"/>
    <x v="1"/>
    <x v="0"/>
    <n v="540"/>
    <n v="4703"/>
    <n v="8796.4934460000004"/>
    <b v="1"/>
    <n v="23"/>
    <b v="0"/>
    <n v="12953.624379999999"/>
    <n v="4409.5"/>
    <n v="5741"/>
    <s v="Overstock"/>
    <n v="0.12246286427032543"/>
    <s v="Slow"/>
    <n v="16.289802677777779"/>
    <n v="0.76807176450095804"/>
    <s v="Optimal"/>
    <n v="0"/>
  </r>
  <r>
    <x v="1117"/>
    <s v="North"/>
    <x v="2"/>
    <s v="Supplier A"/>
    <x v="1"/>
    <x v="0"/>
    <n v="624"/>
    <n v="4116"/>
    <n v="7851.4944919999998"/>
    <b v="1"/>
    <n v="26"/>
    <b v="0"/>
    <n v="98392.013510000004"/>
    <n v="3346"/>
    <n v="6340"/>
    <s v="Overstock"/>
    <n v="0.18649133293484757"/>
    <s v="Slow"/>
    <n v="12.582523224358974"/>
    <n v="0.5277602523659306"/>
    <s v="Optimal"/>
    <n v="0"/>
  </r>
  <r>
    <x v="1118"/>
    <s v="West"/>
    <x v="1"/>
    <s v="Supplier A"/>
    <x v="1"/>
    <x v="0"/>
    <n v="68"/>
    <n v="2576"/>
    <n v="7081.9289779999999"/>
    <b v="0"/>
    <n v="29"/>
    <b v="0"/>
    <n v="12104.33073"/>
    <n v="3462"/>
    <n v="6562"/>
    <s v="Understock"/>
    <n v="1.9641825534373193E-2"/>
    <s v="Slow"/>
    <n v="104.14601438235294"/>
    <n v="0.52758305394696736"/>
    <s v="Optimal"/>
    <n v="0"/>
  </r>
  <r>
    <x v="1119"/>
    <s v="East"/>
    <x v="3"/>
    <s v="Supplier A"/>
    <x v="0"/>
    <x v="0"/>
    <n v="448"/>
    <n v="4348"/>
    <n v="14557.618039999999"/>
    <b v="1"/>
    <n v="9"/>
    <b v="0"/>
    <n v="32619.465120000001"/>
    <n v="3248"/>
    <n v="5756"/>
    <s v="Overstock"/>
    <n v="0.13793103448275862"/>
    <s v="Medium"/>
    <n v="32.494683125000002"/>
    <n v="0.56428075052119531"/>
    <s v="Optimal"/>
    <n v="0"/>
  </r>
  <r>
    <x v="1120"/>
    <s v="West"/>
    <x v="0"/>
    <s v="Supplier A"/>
    <x v="1"/>
    <x v="0"/>
    <n v="936"/>
    <n v="2148"/>
    <n v="12406.56516"/>
    <b v="1"/>
    <n v="17"/>
    <b v="0"/>
    <n v="32737.842049999999"/>
    <n v="2498.5"/>
    <n v="6403"/>
    <s v="Understock"/>
    <n v="0.37462477486491896"/>
    <s v="Slow"/>
    <n v="13.254877307692308"/>
    <n v="0.39020771513353114"/>
    <s v="Under Utilized"/>
    <n v="0"/>
  </r>
  <r>
    <x v="1121"/>
    <s v="East"/>
    <x v="2"/>
    <s v="Supplier B"/>
    <x v="0"/>
    <x v="0"/>
    <n v="605"/>
    <n v="2849"/>
    <n v="6107.0985250000003"/>
    <b v="1"/>
    <n v="1"/>
    <b v="0"/>
    <n v="15591.627630000001"/>
    <n v="2003.5"/>
    <n v="7649"/>
    <s v="Overstock"/>
    <n v="0.30197154978787122"/>
    <s v="Fast"/>
    <n v="10.094377727272727"/>
    <n v="0.26192966400836709"/>
    <s v="Under Utilized"/>
    <n v="0"/>
  </r>
  <r>
    <x v="1122"/>
    <s v="West"/>
    <x v="1"/>
    <s v="Supplier D"/>
    <x v="0"/>
    <x v="0"/>
    <n v="433"/>
    <n v="1158"/>
    <n v="2436.2463809999999"/>
    <b v="1"/>
    <n v="7"/>
    <b v="0"/>
    <n v="60208.119149999999"/>
    <n v="1582.5"/>
    <n v="8112"/>
    <s v="Understock"/>
    <n v="0.27361769352290677"/>
    <s v="Fast"/>
    <n v="5.6264350600461892"/>
    <n v="0.19508136094674555"/>
    <s v="Under Utilized"/>
    <n v="0"/>
  </r>
  <r>
    <x v="1123"/>
    <s v="West"/>
    <x v="2"/>
    <s v="Supplier D"/>
    <x v="1"/>
    <x v="0"/>
    <n v="952"/>
    <n v="2007"/>
    <n v="13541.48157"/>
    <b v="1"/>
    <n v="1"/>
    <b v="0"/>
    <n v="63516.873330000002"/>
    <n v="1685.5"/>
    <n v="6781"/>
    <s v="Overstock"/>
    <n v="0.56481756155443485"/>
    <s v="Fast"/>
    <n v="14.224245346638655"/>
    <n v="0.2485621589736027"/>
    <s v="Under Utilized"/>
    <n v="0"/>
  </r>
  <r>
    <x v="1124"/>
    <s v="South"/>
    <x v="0"/>
    <s v="Supplier C"/>
    <x v="2"/>
    <x v="0"/>
    <n v="62"/>
    <n v="1364"/>
    <n v="6950.1707100000003"/>
    <b v="0"/>
    <n v="15"/>
    <b v="0"/>
    <n v="1415.6135409999999"/>
    <n v="2852.5"/>
    <n v="5733"/>
    <s v="Understock"/>
    <n v="2.1735319894829096E-2"/>
    <s v="Slow"/>
    <n v="112.09952758064517"/>
    <n v="0.49755799755799757"/>
    <s v="Optimal"/>
    <n v="0"/>
  </r>
  <r>
    <x v="1125"/>
    <s v="North"/>
    <x v="1"/>
    <s v="Supplier D"/>
    <x v="0"/>
    <x v="0"/>
    <n v="511"/>
    <n v="4341"/>
    <n v="3687.9983670000001"/>
    <b v="1"/>
    <n v="3"/>
    <b v="0"/>
    <n v="64833.194210000001"/>
    <n v="4088"/>
    <n v="8045"/>
    <s v="Overstock"/>
    <n v="0.125"/>
    <s v="Fast"/>
    <n v="7.2172179393346383"/>
    <n v="0.50814170292106897"/>
    <s v="Optimal"/>
    <n v="0"/>
  </r>
  <r>
    <x v="1126"/>
    <s v="South"/>
    <x v="1"/>
    <s v="Supplier D"/>
    <x v="0"/>
    <x v="0"/>
    <n v="575"/>
    <n v="3835"/>
    <n v="9512.0214980000001"/>
    <b v="1"/>
    <n v="11"/>
    <b v="1"/>
    <n v="38046.45865"/>
    <n v="2591.5"/>
    <n v="6641"/>
    <s v="Overstock"/>
    <n v="0.22187922052865136"/>
    <s v="Medium"/>
    <n v="16.54264608347826"/>
    <n v="0.3902273753952718"/>
    <s v="Under Utilized"/>
    <n v="1"/>
  </r>
  <r>
    <x v="1127"/>
    <s v="North"/>
    <x v="1"/>
    <s v="Supplier C"/>
    <x v="2"/>
    <x v="2"/>
    <n v="298"/>
    <n v="1348"/>
    <n v="5078.2793359999996"/>
    <b v="1"/>
    <n v="6"/>
    <b v="0"/>
    <n v="22310.177080000001"/>
    <n v="1413"/>
    <n v="9321"/>
    <s v="Understock"/>
    <n v="0.21089879688605803"/>
    <s v="Fast"/>
    <n v="17.041205825503354"/>
    <n v="0.15159317669777922"/>
    <s v="Under Utilized"/>
    <n v="0"/>
  </r>
  <r>
    <x v="1128"/>
    <s v="South"/>
    <x v="3"/>
    <s v="Supplier B"/>
    <x v="2"/>
    <x v="0"/>
    <n v="834"/>
    <n v="1478"/>
    <n v="9825.0131130000009"/>
    <b v="1"/>
    <n v="24"/>
    <b v="0"/>
    <n v="81110.090160000007"/>
    <n v="3222"/>
    <n v="6937"/>
    <s v="Understock"/>
    <n v="0.25884543761638734"/>
    <s v="Slow"/>
    <n v="11.78059126258993"/>
    <n v="0.46446590745278937"/>
    <s v="Optimal"/>
    <n v="0"/>
  </r>
  <r>
    <x v="1129"/>
    <s v="South"/>
    <x v="3"/>
    <s v="Supplier D"/>
    <x v="1"/>
    <x v="0"/>
    <n v="437"/>
    <n v="4966"/>
    <n v="11263.331969999999"/>
    <b v="1"/>
    <n v="11"/>
    <b v="0"/>
    <n v="32759.083780000001"/>
    <n v="3973.5"/>
    <n v="6483"/>
    <s v="Overstock"/>
    <n v="0.10997860827985403"/>
    <s v="Medium"/>
    <n v="25.774215034324943"/>
    <n v="0.6129106894956039"/>
    <s v="Optimal"/>
    <n v="0"/>
  </r>
  <r>
    <x v="1130"/>
    <s v="South"/>
    <x v="3"/>
    <s v="Supplier D"/>
    <x v="1"/>
    <x v="0"/>
    <n v="195"/>
    <n v="2981"/>
    <n v="2371.7498300000002"/>
    <b v="1"/>
    <n v="16"/>
    <b v="0"/>
    <n v="20270.415969999998"/>
    <n v="2379"/>
    <n v="8898"/>
    <s v="Overstock"/>
    <n v="8.1967213114754092E-2"/>
    <s v="Slow"/>
    <n v="12.162819641025642"/>
    <n v="0.26736345246122722"/>
    <s v="Under Utilized"/>
    <n v="0"/>
  </r>
  <r>
    <x v="1131"/>
    <s v="West"/>
    <x v="2"/>
    <s v="Supplier A"/>
    <x v="2"/>
    <x v="0"/>
    <n v="803"/>
    <n v="1777"/>
    <n v="6817.2449589999997"/>
    <b v="1"/>
    <n v="15"/>
    <b v="0"/>
    <n v="156478.3284"/>
    <n v="1487.5"/>
    <n v="9122"/>
    <s v="Overstock"/>
    <n v="0.53983193277310926"/>
    <s v="Slow"/>
    <n v="8.4897197496886676"/>
    <n v="0.16306730980048234"/>
    <s v="Under Utilized"/>
    <n v="0"/>
  </r>
  <r>
    <x v="1132"/>
    <s v="North"/>
    <x v="0"/>
    <s v="Supplier A"/>
    <x v="0"/>
    <x v="0"/>
    <n v="497"/>
    <n v="1198"/>
    <n v="13704.64243"/>
    <b v="1"/>
    <n v="28"/>
    <b v="0"/>
    <n v="79376.301680000004"/>
    <n v="1099.5"/>
    <n v="5639"/>
    <s v="Overstock"/>
    <n v="0.45202364711232379"/>
    <s v="Slow"/>
    <n v="27.574733259557345"/>
    <n v="0.19498137967724774"/>
    <s v="Under Utilized"/>
    <n v="0"/>
  </r>
  <r>
    <x v="1133"/>
    <s v="West"/>
    <x v="1"/>
    <s v="Supplier D"/>
    <x v="0"/>
    <x v="0"/>
    <n v="620"/>
    <n v="1001"/>
    <n v="4373.5890129999998"/>
    <b v="1"/>
    <n v="23"/>
    <b v="1"/>
    <n v="38840.93275"/>
    <n v="1849"/>
    <n v="8449"/>
    <s v="Understock"/>
    <n v="0.33531638723634399"/>
    <s v="Slow"/>
    <n v="7.0541758274193542"/>
    <n v="0.21884246656409043"/>
    <s v="Under Utilized"/>
    <n v="1"/>
  </r>
  <r>
    <x v="1134"/>
    <s v="South"/>
    <x v="1"/>
    <s v="Supplier C"/>
    <x v="1"/>
    <x v="2"/>
    <n v="759"/>
    <n v="2697"/>
    <n v="10170.563550000001"/>
    <b v="1"/>
    <n v="23"/>
    <b v="0"/>
    <n v="33737.426370000001"/>
    <n v="2546.5"/>
    <n v="6405"/>
    <s v="Overstock"/>
    <n v="0.29805615550755937"/>
    <s v="Slow"/>
    <n v="13.399951976284585"/>
    <n v="0.39758001561280248"/>
    <s v="Under Utilized"/>
    <n v="0"/>
  </r>
  <r>
    <x v="1135"/>
    <s v="East"/>
    <x v="3"/>
    <s v="Supplier A"/>
    <x v="2"/>
    <x v="0"/>
    <n v="439"/>
    <n v="2396"/>
    <n v="8100.8459300000004"/>
    <b v="1"/>
    <n v="25"/>
    <b v="0"/>
    <n v="34654.353280000003"/>
    <n v="2949"/>
    <n v="9211"/>
    <s v="Understock"/>
    <n v="0.14886402170227195"/>
    <s v="Slow"/>
    <n v="18.452952004555808"/>
    <n v="0.32016067745087395"/>
    <s v="Under Utilized"/>
    <n v="0"/>
  </r>
  <r>
    <x v="1136"/>
    <s v="North"/>
    <x v="1"/>
    <s v="Supplier B"/>
    <x v="0"/>
    <x v="2"/>
    <n v="581"/>
    <n v="3502"/>
    <n v="7583.8657629999998"/>
    <b v="1"/>
    <n v="16"/>
    <b v="1"/>
    <n v="109301.5362"/>
    <n v="2891.5"/>
    <n v="5936"/>
    <s v="Overstock"/>
    <n v="0.2009337713989279"/>
    <s v="Slow"/>
    <n v="13.053125237521515"/>
    <n v="0.48711253369272239"/>
    <s v="Optimal"/>
    <n v="1"/>
  </r>
  <r>
    <x v="1137"/>
    <s v="North"/>
    <x v="1"/>
    <s v="Supplier C"/>
    <x v="1"/>
    <x v="0"/>
    <n v="54"/>
    <n v="2281"/>
    <n v="8983.0099460000001"/>
    <b v="1"/>
    <n v="24"/>
    <b v="0"/>
    <n v="9526.2075559999994"/>
    <n v="1338.5"/>
    <n v="5633"/>
    <s v="Overstock"/>
    <n v="4.0343668285394096E-2"/>
    <s v="Slow"/>
    <n v="166.35203603703704"/>
    <n v="0.23761761050949759"/>
    <s v="Under Utilized"/>
    <n v="0"/>
  </r>
  <r>
    <x v="1138"/>
    <s v="East"/>
    <x v="1"/>
    <s v="Supplier B"/>
    <x v="1"/>
    <x v="0"/>
    <n v="864"/>
    <n v="396"/>
    <n v="1996.6414090000001"/>
    <b v="1"/>
    <n v="29"/>
    <b v="1"/>
    <n v="128014.80560000001"/>
    <n v="1008.5"/>
    <n v="7915"/>
    <s v="Understock"/>
    <n v="0.85671789786812103"/>
    <s v="Slow"/>
    <n v="2.3109275567129632"/>
    <n v="0.12741629816803537"/>
    <s v="Under Utilized"/>
    <n v="1"/>
  </r>
  <r>
    <x v="1139"/>
    <s v="East"/>
    <x v="1"/>
    <s v="Supplier D"/>
    <x v="1"/>
    <x v="0"/>
    <n v="75"/>
    <n v="1621"/>
    <n v="3694.7472050000001"/>
    <b v="1"/>
    <n v="19"/>
    <b v="0"/>
    <n v="8089.309714"/>
    <n v="2937"/>
    <n v="9577"/>
    <s v="Understock"/>
    <n v="2.5536261491317672E-2"/>
    <s v="Slow"/>
    <n v="49.263296066666669"/>
    <n v="0.30667223556437295"/>
    <s v="Under Utilized"/>
    <n v="0"/>
  </r>
  <r>
    <x v="1140"/>
    <s v="North"/>
    <x v="1"/>
    <s v="Supplier B"/>
    <x v="0"/>
    <x v="2"/>
    <n v="979"/>
    <n v="4253"/>
    <n v="14986.217720000001"/>
    <b v="1"/>
    <n v="1"/>
    <b v="0"/>
    <n v="26297.197169999999"/>
    <n v="3169"/>
    <n v="9462"/>
    <s v="Overstock"/>
    <n v="0.30893026191227518"/>
    <s v="Fast"/>
    <n v="15.307678978549541"/>
    <n v="0.33491862185584442"/>
    <s v="Under Utilized"/>
    <n v="0"/>
  </r>
  <r>
    <x v="1141"/>
    <s v="East"/>
    <x v="0"/>
    <s v="Supplier A"/>
    <x v="1"/>
    <x v="0"/>
    <n v="266"/>
    <n v="2085"/>
    <n v="6764.153104"/>
    <b v="1"/>
    <n v="12"/>
    <b v="0"/>
    <n v="33309.521520000002"/>
    <n v="1106"/>
    <n v="7603"/>
    <s v="Overstock"/>
    <n v="0.24050632911392406"/>
    <s v="Medium"/>
    <n v="25.429147007518797"/>
    <n v="0.14546889385768774"/>
    <s v="Under Utilized"/>
    <n v="0"/>
  </r>
  <r>
    <x v="1142"/>
    <s v="North"/>
    <x v="1"/>
    <s v="Supplier C"/>
    <x v="1"/>
    <x v="0"/>
    <n v="456"/>
    <n v="127"/>
    <n v="4344.1421309999996"/>
    <b v="1"/>
    <n v="13"/>
    <b v="0"/>
    <n v="71746.949519999995"/>
    <n v="1849.5"/>
    <n v="6183"/>
    <s v="Understock"/>
    <n v="0.24655312246553124"/>
    <s v="Medium"/>
    <n v="9.5266274802631568"/>
    <n v="0.29912663755458513"/>
    <s v="Under Utilized"/>
    <n v="0"/>
  </r>
  <r>
    <x v="1143"/>
    <s v="West"/>
    <x v="3"/>
    <s v="Supplier C"/>
    <x v="2"/>
    <x v="0"/>
    <n v="866"/>
    <n v="3572"/>
    <n v="4799.7950490000003"/>
    <b v="1"/>
    <n v="23"/>
    <b v="0"/>
    <n v="29606.16188"/>
    <n v="2649.5"/>
    <n v="7274"/>
    <s v="Overstock"/>
    <n v="0.32685412341951314"/>
    <s v="Slow"/>
    <n v="5.5424885092378755"/>
    <n v="0.36424250756117682"/>
    <s v="Under Utilized"/>
    <n v="0"/>
  </r>
  <r>
    <x v="1144"/>
    <s v="West"/>
    <x v="3"/>
    <s v="Supplier A"/>
    <x v="0"/>
    <x v="0"/>
    <n v="619"/>
    <n v="1727"/>
    <n v="7738.2035390000001"/>
    <b v="1"/>
    <n v="23"/>
    <b v="0"/>
    <n v="12506.068960000001"/>
    <n v="2828"/>
    <n v="7484"/>
    <s v="Understock"/>
    <n v="0.21888260254596889"/>
    <s v="Slow"/>
    <n v="12.501136573505654"/>
    <n v="0.37787279529663281"/>
    <s v="Under Utilized"/>
    <n v="0"/>
  </r>
  <r>
    <x v="1145"/>
    <s v="East"/>
    <x v="2"/>
    <s v="Supplier A"/>
    <x v="0"/>
    <x v="0"/>
    <n v="758"/>
    <n v="3929"/>
    <n v="13059.663780000001"/>
    <b v="1"/>
    <n v="19"/>
    <b v="0"/>
    <n v="19669.641469999999"/>
    <n v="3880"/>
    <n v="5213"/>
    <s v="Overstock"/>
    <n v="0.19536082474226804"/>
    <s v="Slow"/>
    <n v="17.22910788918206"/>
    <n v="0.74429311337042015"/>
    <s v="Optimal"/>
    <n v="0"/>
  </r>
  <r>
    <x v="1146"/>
    <s v="West"/>
    <x v="3"/>
    <s v="Supplier C"/>
    <x v="2"/>
    <x v="0"/>
    <n v="55"/>
    <n v="3831"/>
    <n v="1736.3909530000001"/>
    <b v="1"/>
    <n v="19"/>
    <b v="0"/>
    <n v="7506.401484"/>
    <n v="3589.5"/>
    <n v="7752"/>
    <s v="Overstock"/>
    <n v="1.532246831034963E-2"/>
    <s v="Slow"/>
    <n v="31.570744600000001"/>
    <n v="0.46304179566563469"/>
    <s v="Optimal"/>
    <n v="0"/>
  </r>
  <r>
    <x v="1147"/>
    <s v="East"/>
    <x v="0"/>
    <s v="Supplier B"/>
    <x v="1"/>
    <x v="2"/>
    <n v="109"/>
    <n v="3348"/>
    <n v="12444.322630000001"/>
    <b v="1"/>
    <n v="1"/>
    <b v="0"/>
    <n v="15106.96401"/>
    <n v="2803.5"/>
    <n v="8808"/>
    <s v="Overstock"/>
    <n v="3.8879971464241124E-2"/>
    <s v="Fast"/>
    <n v="114.16809752293578"/>
    <n v="0.31829019073569481"/>
    <s v="Under Utilized"/>
    <n v="0"/>
  </r>
  <r>
    <x v="1148"/>
    <s v="South"/>
    <x v="3"/>
    <s v="Supplier D"/>
    <x v="0"/>
    <x v="0"/>
    <n v="724"/>
    <n v="2259"/>
    <n v="4151.1981079999996"/>
    <b v="1"/>
    <n v="10"/>
    <b v="0"/>
    <n v="26931.277730000002"/>
    <n v="3375"/>
    <n v="7558"/>
    <s v="Understock"/>
    <n v="0.21451851851851853"/>
    <s v="Medium"/>
    <n v="5.7336990441988949"/>
    <n v="0.44654670547763958"/>
    <s v="Optimal"/>
    <n v="0"/>
  </r>
  <r>
    <x v="1149"/>
    <s v="East"/>
    <x v="1"/>
    <s v="Supplier C"/>
    <x v="2"/>
    <x v="0"/>
    <n v="294"/>
    <n v="4491"/>
    <n v="12198.216759999999"/>
    <b v="1"/>
    <n v="3"/>
    <b v="1"/>
    <n v="8644.8362890000008"/>
    <n v="3585.5"/>
    <n v="9189"/>
    <s v="Overstock"/>
    <n v="8.1996932087574956E-2"/>
    <s v="Fast"/>
    <n v="41.490533197278907"/>
    <n v="0.39019479812819674"/>
    <s v="Under Utilized"/>
    <n v="1"/>
  </r>
  <r>
    <x v="1150"/>
    <s v="South"/>
    <x v="0"/>
    <s v="Supplier A"/>
    <x v="1"/>
    <x v="0"/>
    <n v="464"/>
    <n v="2680"/>
    <n v="4350.5851709999997"/>
    <b v="1"/>
    <n v="20"/>
    <b v="0"/>
    <n v="45331.479339999998"/>
    <n v="2468"/>
    <n v="7314"/>
    <s v="Overstock"/>
    <n v="0.18800648298217179"/>
    <s v="Slow"/>
    <n v="9.3762611443965511"/>
    <n v="0.33743505605687724"/>
    <s v="Under Utilized"/>
    <n v="0"/>
  </r>
  <r>
    <x v="1151"/>
    <s v="South"/>
    <x v="3"/>
    <s v="Supplier D"/>
    <x v="2"/>
    <x v="2"/>
    <n v="802"/>
    <n v="2256"/>
    <n v="11589.255510000001"/>
    <b v="1"/>
    <n v="21"/>
    <b v="0"/>
    <n v="21994.896700000001"/>
    <n v="3348"/>
    <n v="5901"/>
    <s v="Understock"/>
    <n v="0.23954599761051373"/>
    <s v="Slow"/>
    <n v="14.450443279301746"/>
    <n v="0.56736146415861721"/>
    <s v="Optimal"/>
    <n v="0"/>
  </r>
  <r>
    <x v="1152"/>
    <s v="East"/>
    <x v="3"/>
    <s v="Supplier C"/>
    <x v="1"/>
    <x v="2"/>
    <n v="318"/>
    <n v="4440"/>
    <n v="7743.4508599999999"/>
    <b v="1"/>
    <n v="15"/>
    <b v="0"/>
    <n v="58218.818979999996"/>
    <n v="4642"/>
    <n v="5938"/>
    <s v="Understock"/>
    <n v="6.8504954760878936E-2"/>
    <s v="Slow"/>
    <n v="24.350474402515722"/>
    <n v="0.78174469518356349"/>
    <s v="Optimal"/>
    <n v="0"/>
  </r>
  <r>
    <x v="1153"/>
    <s v="West"/>
    <x v="3"/>
    <s v="Supplier A"/>
    <x v="2"/>
    <x v="0"/>
    <n v="844"/>
    <n v="4844"/>
    <n v="1061.9755660000001"/>
    <b v="1"/>
    <n v="12"/>
    <b v="0"/>
    <n v="33068.51627"/>
    <n v="3157"/>
    <n v="7842"/>
    <s v="Overstock"/>
    <n v="0.26734241368387712"/>
    <s v="Medium"/>
    <n v="1.2582648886255925"/>
    <n v="0.40257587350165774"/>
    <s v="Optimal"/>
    <n v="0"/>
  </r>
  <r>
    <x v="1154"/>
    <s v="West"/>
    <x v="0"/>
    <s v="Supplier A"/>
    <x v="0"/>
    <x v="2"/>
    <n v="558"/>
    <n v="1470"/>
    <n v="6860.4107670000003"/>
    <b v="1"/>
    <n v="9"/>
    <b v="0"/>
    <n v="52367.432249999998"/>
    <n v="2131.5"/>
    <n v="6468"/>
    <s v="Understock"/>
    <n v="0.26178747361013371"/>
    <s v="Medium"/>
    <n v="12.294642951612904"/>
    <n v="0.32954545454545453"/>
    <s v="Under Utilized"/>
    <n v="0"/>
  </r>
  <r>
    <x v="1155"/>
    <s v="West"/>
    <x v="1"/>
    <s v="Supplier D"/>
    <x v="0"/>
    <x v="0"/>
    <n v="871"/>
    <n v="2793"/>
    <n v="9611.9008859999994"/>
    <b v="1"/>
    <n v="6"/>
    <b v="0"/>
    <n v="22888.534350000002"/>
    <n v="2643.5"/>
    <n v="7320"/>
    <s v="Overstock"/>
    <n v="0.32948742197843767"/>
    <s v="Fast"/>
    <n v="11.035477481056256"/>
    <n v="0.36113387978142075"/>
    <s v="Under Utilized"/>
    <n v="0"/>
  </r>
  <r>
    <x v="1156"/>
    <s v="West"/>
    <x v="1"/>
    <s v="Supplier D"/>
    <x v="1"/>
    <x v="0"/>
    <n v="704"/>
    <n v="2494"/>
    <n v="13546.27464"/>
    <b v="1"/>
    <n v="29"/>
    <b v="0"/>
    <n v="46617.833010000002"/>
    <n v="2490.5"/>
    <n v="9570"/>
    <s v="Overstock"/>
    <n v="0.28267416181489663"/>
    <s v="Slow"/>
    <n v="19.241867386363637"/>
    <n v="0.26024033437826544"/>
    <s v="Under Utilized"/>
    <n v="0"/>
  </r>
  <r>
    <x v="1157"/>
    <s v="South"/>
    <x v="1"/>
    <s v="Supplier D"/>
    <x v="1"/>
    <x v="0"/>
    <n v="494"/>
    <n v="2487"/>
    <n v="4876.1008099999999"/>
    <b v="1"/>
    <n v="7"/>
    <b v="0"/>
    <n v="55620.792009999997"/>
    <n v="1830"/>
    <n v="5325"/>
    <s v="Overstock"/>
    <n v="0.26994535519125684"/>
    <s v="Fast"/>
    <n v="9.8706494129554656"/>
    <n v="0.3436619718309859"/>
    <s v="Under Utilized"/>
    <n v="0"/>
  </r>
  <r>
    <x v="1158"/>
    <s v="East"/>
    <x v="0"/>
    <s v="Supplier B"/>
    <x v="2"/>
    <x v="0"/>
    <n v="121"/>
    <n v="1173"/>
    <n v="9506.0417109999999"/>
    <b v="1"/>
    <n v="28"/>
    <b v="0"/>
    <n v="14037.34074"/>
    <n v="977"/>
    <n v="5658"/>
    <s v="Overstock"/>
    <n v="0.12384851586489252"/>
    <s v="Slow"/>
    <n v="78.562328190082638"/>
    <n v="0.17267585719335454"/>
    <s v="Under Utilized"/>
    <n v="0"/>
  </r>
  <r>
    <x v="1159"/>
    <s v="East"/>
    <x v="2"/>
    <s v="Supplier A"/>
    <x v="0"/>
    <x v="0"/>
    <n v="288"/>
    <n v="781"/>
    <n v="4909.7958170000002"/>
    <b v="1"/>
    <n v="3"/>
    <b v="0"/>
    <n v="41079.275529999999"/>
    <n v="2705.5"/>
    <n v="9383"/>
    <s v="Understock"/>
    <n v="0.10644982443171318"/>
    <s v="Fast"/>
    <n v="17.04790214236111"/>
    <n v="0.28834061600767347"/>
    <s v="Under Utilized"/>
    <n v="0"/>
  </r>
  <r>
    <x v="1160"/>
    <s v="East"/>
    <x v="1"/>
    <s v="Supplier C"/>
    <x v="1"/>
    <x v="0"/>
    <n v="575"/>
    <n v="4630"/>
    <n v="2871.530021"/>
    <b v="1"/>
    <n v="22"/>
    <b v="0"/>
    <n v="30668.977459999998"/>
    <n v="4752.5"/>
    <n v="5109"/>
    <s v="Understock"/>
    <n v="0.12098895318253551"/>
    <s v="Slow"/>
    <n v="4.9939652539130437"/>
    <n v="0.93022117831278139"/>
    <s v="Over Utilized"/>
    <n v="0"/>
  </r>
  <r>
    <x v="1161"/>
    <s v="North"/>
    <x v="2"/>
    <s v="Supplier C"/>
    <x v="1"/>
    <x v="0"/>
    <n v="415"/>
    <n v="4875"/>
    <n v="7098.5967149999997"/>
    <b v="1"/>
    <n v="13"/>
    <b v="0"/>
    <n v="28570.519929999999"/>
    <n v="4067"/>
    <n v="5144"/>
    <s v="Overstock"/>
    <n v="0.10204081632653061"/>
    <s v="Medium"/>
    <n v="17.105052325301205"/>
    <n v="0.79062986003110425"/>
    <s v="Optimal"/>
    <n v="0"/>
  </r>
  <r>
    <x v="1162"/>
    <s v="North"/>
    <x v="0"/>
    <s v="Supplier C"/>
    <x v="2"/>
    <x v="1"/>
    <n v="212"/>
    <n v="3259"/>
    <n v="4820.3465040000001"/>
    <b v="1"/>
    <n v="20"/>
    <b v="0"/>
    <n v="35631.80012"/>
    <n v="3173"/>
    <n v="6186"/>
    <s v="Overstock"/>
    <n v="6.6813740939174276E-2"/>
    <s v="Slow"/>
    <n v="22.737483509433964"/>
    <n v="0.51293242806336892"/>
    <s v="Optimal"/>
    <n v="0"/>
  </r>
  <r>
    <x v="1163"/>
    <s v="West"/>
    <x v="2"/>
    <s v="Supplier B"/>
    <x v="1"/>
    <x v="0"/>
    <n v="823"/>
    <n v="3087"/>
    <n v="8532.7025649999996"/>
    <b v="1"/>
    <n v="3"/>
    <b v="0"/>
    <n v="87098.747969999997"/>
    <n v="2534.5"/>
    <n v="9371"/>
    <s v="Overstock"/>
    <n v="0.324718879463405"/>
    <s v="Fast"/>
    <n v="10.367803845686513"/>
    <n v="0.27046206381389393"/>
    <s v="Under Utilized"/>
    <n v="0"/>
  </r>
  <r>
    <x v="1164"/>
    <s v="North"/>
    <x v="0"/>
    <s v="Supplier D"/>
    <x v="2"/>
    <x v="0"/>
    <n v="478"/>
    <n v="1982"/>
    <n v="6969.471348"/>
    <b v="1"/>
    <n v="23"/>
    <b v="0"/>
    <n v="32538.86983"/>
    <n v="3245"/>
    <n v="7687"/>
    <s v="Understock"/>
    <n v="0.14730354391371339"/>
    <s v="Slow"/>
    <n v="14.5804839916318"/>
    <n v="0.42214127748146218"/>
    <s v="Optimal"/>
    <n v="0"/>
  </r>
  <r>
    <x v="1165"/>
    <s v="South"/>
    <x v="3"/>
    <s v="Supplier B"/>
    <x v="1"/>
    <x v="0"/>
    <n v="639"/>
    <n v="4508"/>
    <n v="1264.436612"/>
    <b v="1"/>
    <n v="27"/>
    <b v="0"/>
    <n v="99669.685190000004"/>
    <n v="3274"/>
    <n v="7360"/>
    <s v="Overstock"/>
    <n v="0.19517409896151497"/>
    <s v="Slow"/>
    <n v="1.9787740406885759"/>
    <n v="0.44483695652173916"/>
    <s v="Optimal"/>
    <n v="0"/>
  </r>
  <r>
    <x v="1166"/>
    <s v="South"/>
    <x v="2"/>
    <s v="Supplier C"/>
    <x v="0"/>
    <x v="2"/>
    <n v="545"/>
    <n v="2040"/>
    <n v="9960.901355"/>
    <b v="1"/>
    <n v="9"/>
    <b v="0"/>
    <n v="15285.749970000001"/>
    <n v="2718"/>
    <n v="9549"/>
    <s v="Understock"/>
    <n v="0.20051508462104489"/>
    <s v="Medium"/>
    <n v="18.276883220183485"/>
    <n v="0.28463713477851083"/>
    <s v="Under Utilized"/>
    <n v="0"/>
  </r>
  <r>
    <x v="1167"/>
    <s v="West"/>
    <x v="2"/>
    <s v="Supplier B"/>
    <x v="0"/>
    <x v="0"/>
    <n v="898"/>
    <n v="3396"/>
    <n v="2306.894092"/>
    <b v="1"/>
    <n v="17"/>
    <b v="1"/>
    <n v="150585.0453"/>
    <n v="3515"/>
    <n v="8014"/>
    <s v="Understock"/>
    <n v="0.25547652916073971"/>
    <s v="Slow"/>
    <n v="2.5689243786191538"/>
    <n v="0.43860743698527577"/>
    <s v="Optimal"/>
    <n v="1"/>
  </r>
  <r>
    <x v="1168"/>
    <s v="North"/>
    <x v="0"/>
    <s v="Supplier D"/>
    <x v="0"/>
    <x v="0"/>
    <n v="215"/>
    <n v="3634"/>
    <n v="13979.919309999999"/>
    <b v="1"/>
    <n v="16"/>
    <b v="0"/>
    <n v="18054.18924"/>
    <n v="3731.5"/>
    <n v="8913"/>
    <s v="Understock"/>
    <n v="5.7617580061637412E-2"/>
    <s v="Slow"/>
    <n v="65.022880511627903"/>
    <n v="0.41865813979580391"/>
    <s v="Optimal"/>
    <n v="0"/>
  </r>
  <r>
    <x v="1169"/>
    <s v="North"/>
    <x v="1"/>
    <s v="Supplier D"/>
    <x v="1"/>
    <x v="2"/>
    <n v="706"/>
    <n v="3829"/>
    <n v="4798.4508720000003"/>
    <b v="1"/>
    <n v="16"/>
    <b v="0"/>
    <n v="107181.2167"/>
    <n v="2209.5"/>
    <n v="5376"/>
    <s v="Overstock"/>
    <n v="0.31952930527268614"/>
    <s v="Slow"/>
    <n v="6.7966726232294619"/>
    <n v="0.41099330357142855"/>
    <s v="Optimal"/>
    <n v="0"/>
  </r>
  <r>
    <x v="1170"/>
    <s v="West"/>
    <x v="1"/>
    <s v="Supplier C"/>
    <x v="1"/>
    <x v="1"/>
    <n v="702"/>
    <n v="590"/>
    <n v="7014.3882979999998"/>
    <b v="1"/>
    <n v="5"/>
    <b v="0"/>
    <n v="97066.756460000004"/>
    <n v="935.5"/>
    <n v="7247"/>
    <s v="Understock"/>
    <n v="0.75040085515766974"/>
    <s v="Fast"/>
    <n v="9.9920061225071226"/>
    <n v="0.12908789844073409"/>
    <s v="Under Utilized"/>
    <n v="0"/>
  </r>
  <r>
    <x v="1171"/>
    <s v="West"/>
    <x v="3"/>
    <s v="Supplier A"/>
    <x v="0"/>
    <x v="2"/>
    <n v="651"/>
    <n v="1281"/>
    <n v="892.67643820000001"/>
    <b v="1"/>
    <n v="15"/>
    <b v="0"/>
    <n v="98065.851280000003"/>
    <n v="1378"/>
    <n v="7343"/>
    <s v="Understock"/>
    <n v="0.47242380261248185"/>
    <s v="Slow"/>
    <n v="1.3712387683563749"/>
    <n v="0.18766171864360615"/>
    <s v="Under Utilized"/>
    <n v="0"/>
  </r>
  <r>
    <x v="1172"/>
    <s v="South"/>
    <x v="0"/>
    <s v="Supplier A"/>
    <x v="2"/>
    <x v="1"/>
    <n v="578"/>
    <n v="1475"/>
    <n v="6947.1010399999996"/>
    <b v="1"/>
    <n v="18"/>
    <b v="0"/>
    <n v="11760.996359999999"/>
    <n v="2494.5"/>
    <n v="7743"/>
    <s v="Understock"/>
    <n v="0.23170976147524555"/>
    <s v="Slow"/>
    <n v="12.019205951557092"/>
    <n v="0.32216195273149945"/>
    <s v="Under Utilized"/>
    <n v="0"/>
  </r>
  <r>
    <x v="1173"/>
    <s v="South"/>
    <x v="1"/>
    <s v="Supplier C"/>
    <x v="1"/>
    <x v="0"/>
    <n v="834"/>
    <n v="3514"/>
    <n v="10859.665419999999"/>
    <b v="1"/>
    <n v="11"/>
    <b v="0"/>
    <n v="157681.74559999999"/>
    <n v="3886.5"/>
    <n v="5611"/>
    <s v="Understock"/>
    <n v="0.21458896179081435"/>
    <s v="Medium"/>
    <n v="13.021181558752996"/>
    <n v="0.69265728034218499"/>
    <s v="Optimal"/>
    <n v="0"/>
  </r>
  <r>
    <x v="1174"/>
    <s v="South"/>
    <x v="3"/>
    <s v="Supplier C"/>
    <x v="2"/>
    <x v="2"/>
    <n v="736"/>
    <n v="4259"/>
    <n v="8429.7770199999995"/>
    <b v="1"/>
    <n v="15"/>
    <b v="0"/>
    <n v="99511.225850000003"/>
    <n v="2492.5"/>
    <n v="5850"/>
    <s v="Overstock"/>
    <n v="0.29528585757271814"/>
    <s v="Slow"/>
    <n v="11.453501385869565"/>
    <n v="0.42606837606837605"/>
    <s v="Optimal"/>
    <n v="0"/>
  </r>
  <r>
    <x v="1175"/>
    <s v="West"/>
    <x v="2"/>
    <s v="Supplier C"/>
    <x v="1"/>
    <x v="0"/>
    <n v="751"/>
    <n v="726"/>
    <n v="3025.2720399999998"/>
    <b v="1"/>
    <n v="16"/>
    <b v="0"/>
    <n v="24467.975129999999"/>
    <n v="2792"/>
    <n v="8290"/>
    <s v="Understock"/>
    <n v="0.26898280802292263"/>
    <s v="Slow"/>
    <n v="4.0283249533954724"/>
    <n v="0.33679131483715319"/>
    <s v="Under Utilized"/>
    <n v="0"/>
  </r>
  <r>
    <x v="1176"/>
    <s v="West"/>
    <x v="1"/>
    <s v="Supplier A"/>
    <x v="0"/>
    <x v="0"/>
    <n v="57"/>
    <n v="4858"/>
    <n v="10972.13343"/>
    <b v="1"/>
    <n v="3"/>
    <b v="0"/>
    <n v="1957.268928"/>
    <n v="3535"/>
    <n v="8886"/>
    <s v="Overstock"/>
    <n v="1.6124469589816125E-2"/>
    <s v="Fast"/>
    <n v="192.49356894736843"/>
    <n v="0.39781679045689849"/>
    <s v="Under Utilized"/>
    <n v="0"/>
  </r>
  <r>
    <x v="1177"/>
    <s v="South"/>
    <x v="2"/>
    <s v="Supplier A"/>
    <x v="0"/>
    <x v="2"/>
    <n v="257"/>
    <n v="2212"/>
    <n v="8015.0559499999999"/>
    <b v="1"/>
    <n v="22"/>
    <b v="0"/>
    <n v="16589.63351"/>
    <n v="2936"/>
    <n v="7242"/>
    <s v="Understock"/>
    <n v="8.7534059945504089E-2"/>
    <s v="Slow"/>
    <n v="31.186988132295721"/>
    <n v="0.40541286937310134"/>
    <s v="Optimal"/>
    <n v="0"/>
  </r>
  <r>
    <x v="1178"/>
    <s v="North"/>
    <x v="3"/>
    <s v="Supplier C"/>
    <x v="2"/>
    <x v="0"/>
    <n v="660"/>
    <n v="3660"/>
    <n v="4280.2772249999998"/>
    <b v="1"/>
    <n v="13"/>
    <b v="0"/>
    <n v="130250.07460000001"/>
    <n v="3970"/>
    <n v="7857"/>
    <s v="Understock"/>
    <n v="0.16624685138539042"/>
    <s v="Medium"/>
    <n v="6.4852685227272726"/>
    <n v="0.50528191421662216"/>
    <s v="Optimal"/>
    <n v="0"/>
  </r>
  <r>
    <x v="1179"/>
    <s v="South"/>
    <x v="2"/>
    <s v="Supplier A"/>
    <x v="0"/>
    <x v="0"/>
    <n v="727"/>
    <n v="4280"/>
    <n v="530.10950519999994"/>
    <b v="1"/>
    <n v="3"/>
    <b v="0"/>
    <n v="89811.757230000003"/>
    <n v="3073.5"/>
    <n v="8753"/>
    <s v="Overstock"/>
    <n v="0.23653814869041809"/>
    <s v="Fast"/>
    <n v="0.72917400990371384"/>
    <n v="0.35113675311321835"/>
    <s v="Under Utilized"/>
    <n v="0"/>
  </r>
  <r>
    <x v="1180"/>
    <s v="East"/>
    <x v="1"/>
    <s v="Supplier D"/>
    <x v="2"/>
    <x v="0"/>
    <n v="71"/>
    <n v="1867"/>
    <n v="8754.8200450000004"/>
    <b v="1"/>
    <n v="28"/>
    <b v="1"/>
    <n v="11382.98702"/>
    <n v="2404"/>
    <n v="6054"/>
    <s v="Understock"/>
    <n v="2.9534109816971715E-2"/>
    <s v="Slow"/>
    <n v="123.3073245774648"/>
    <n v="0.39709283118599276"/>
    <s v="Under Utilized"/>
    <n v="1"/>
  </r>
  <r>
    <x v="1181"/>
    <s v="West"/>
    <x v="2"/>
    <s v="Supplier A"/>
    <x v="1"/>
    <x v="0"/>
    <n v="258"/>
    <n v="2941"/>
    <n v="6752.5520310000002"/>
    <b v="1"/>
    <n v="24"/>
    <b v="0"/>
    <n v="21019.590219999998"/>
    <n v="3610.5"/>
    <n v="5842"/>
    <s v="Understock"/>
    <n v="7.1458246780224347E-2"/>
    <s v="Slow"/>
    <n v="26.172682290697676"/>
    <n v="0.61802464909277643"/>
    <s v="Optimal"/>
    <n v="0"/>
  </r>
  <r>
    <x v="1182"/>
    <s v="West"/>
    <x v="3"/>
    <s v="Supplier B"/>
    <x v="1"/>
    <x v="0"/>
    <n v="384"/>
    <n v="4280"/>
    <n v="6253.4452190000002"/>
    <b v="1"/>
    <n v="17"/>
    <b v="0"/>
    <n v="52431.531369999997"/>
    <n v="3320.5"/>
    <n v="7765"/>
    <s v="Overstock"/>
    <n v="0.11564523415148321"/>
    <s v="Slow"/>
    <n v="16.285013591145834"/>
    <n v="0.42762395363811978"/>
    <s v="Optimal"/>
    <n v="0"/>
  </r>
  <r>
    <x v="1183"/>
    <s v="West"/>
    <x v="3"/>
    <s v="Supplier B"/>
    <x v="1"/>
    <x v="1"/>
    <n v="454"/>
    <n v="2361"/>
    <n v="7140.4666100000004"/>
    <b v="1"/>
    <n v="26"/>
    <b v="0"/>
    <n v="77840.551149999999"/>
    <n v="3273.5"/>
    <n v="5099"/>
    <s v="Understock"/>
    <n v="0.1386894760959218"/>
    <s v="Slow"/>
    <n v="15.727900022026432"/>
    <n v="0.64198862522063149"/>
    <s v="Optimal"/>
    <n v="0"/>
  </r>
  <r>
    <x v="1184"/>
    <s v="North"/>
    <x v="2"/>
    <s v="Supplier B"/>
    <x v="1"/>
    <x v="0"/>
    <n v="475"/>
    <n v="4186"/>
    <n v="8206.4490709999991"/>
    <b v="1"/>
    <n v="11"/>
    <b v="0"/>
    <n v="89102.148090000002"/>
    <n v="2874"/>
    <n v="6711"/>
    <s v="Overstock"/>
    <n v="0.16527487821851078"/>
    <s v="Medium"/>
    <n v="17.276734886315786"/>
    <n v="0.42825212337952617"/>
    <s v="Optimal"/>
    <n v="0"/>
  </r>
  <r>
    <x v="1185"/>
    <s v="West"/>
    <x v="3"/>
    <s v="Supplier B"/>
    <x v="0"/>
    <x v="1"/>
    <n v="743"/>
    <n v="1562"/>
    <n v="8750.2563169999994"/>
    <b v="1"/>
    <n v="26"/>
    <b v="0"/>
    <n v="100778.1299"/>
    <n v="2274.5"/>
    <n v="9698"/>
    <s v="Understock"/>
    <n v="0.32666520114310837"/>
    <s v="Slow"/>
    <n v="11.77692640242261"/>
    <n v="0.23453289338007838"/>
    <s v="Under Utilized"/>
    <n v="0"/>
  </r>
  <r>
    <x v="1186"/>
    <s v="East"/>
    <x v="3"/>
    <s v="Supplier C"/>
    <x v="0"/>
    <x v="0"/>
    <n v="539"/>
    <n v="2987"/>
    <n v="2014.022858"/>
    <b v="1"/>
    <n v="6"/>
    <b v="0"/>
    <n v="75814.410889999999"/>
    <n v="3358"/>
    <n v="8663"/>
    <s v="Understock"/>
    <n v="0.16051220964860036"/>
    <s v="Fast"/>
    <n v="3.7365915732838593"/>
    <n v="0.38762553387971832"/>
    <s v="Under Utilized"/>
    <n v="0"/>
  </r>
  <r>
    <x v="1187"/>
    <s v="East"/>
    <x v="3"/>
    <s v="Supplier B"/>
    <x v="1"/>
    <x v="2"/>
    <n v="240"/>
    <n v="3729"/>
    <n v="1262.3287680000001"/>
    <b v="1"/>
    <n v="6"/>
    <b v="0"/>
    <n v="19883.7287"/>
    <n v="2256.5"/>
    <n v="8971"/>
    <s v="Overstock"/>
    <n v="0.10635940615998227"/>
    <s v="Fast"/>
    <n v="5.2597032000000006"/>
    <n v="0.25153271653104448"/>
    <s v="Under Utilized"/>
    <n v="0"/>
  </r>
  <r>
    <x v="1188"/>
    <s v="East"/>
    <x v="0"/>
    <s v="Supplier C"/>
    <x v="2"/>
    <x v="2"/>
    <n v="810"/>
    <n v="784"/>
    <n v="12850.95991"/>
    <b v="1"/>
    <n v="20"/>
    <b v="0"/>
    <n v="112337.44779999999"/>
    <n v="2711.5"/>
    <n v="8131"/>
    <s v="Understock"/>
    <n v="0.29872764152683018"/>
    <s v="Slow"/>
    <n v="15.86538260493827"/>
    <n v="0.33347681711966548"/>
    <s v="Under Utilized"/>
    <n v="0"/>
  </r>
  <r>
    <x v="1189"/>
    <s v="East"/>
    <x v="2"/>
    <s v="Supplier C"/>
    <x v="2"/>
    <x v="0"/>
    <n v="882"/>
    <n v="4639"/>
    <n v="13691.283460000001"/>
    <b v="1"/>
    <n v="25"/>
    <b v="0"/>
    <n v="149700.397"/>
    <n v="4626.5"/>
    <n v="8664"/>
    <s v="Overstock"/>
    <n v="0.19064087323030368"/>
    <s v="Slow"/>
    <n v="15.522997120181406"/>
    <n v="0.53399122807017541"/>
    <s v="Optimal"/>
    <n v="0"/>
  </r>
  <r>
    <x v="1190"/>
    <s v="South"/>
    <x v="2"/>
    <s v="Supplier D"/>
    <x v="2"/>
    <x v="2"/>
    <n v="434"/>
    <n v="4614"/>
    <n v="14766.64228"/>
    <b v="1"/>
    <n v="4"/>
    <b v="0"/>
    <n v="49121.057560000001"/>
    <n v="4396.5"/>
    <n v="6791"/>
    <s v="Overstock"/>
    <n v="9.8714886841805988E-2"/>
    <s v="Fast"/>
    <n v="34.02452138248848"/>
    <n v="0.64740097187453982"/>
    <s v="Optimal"/>
    <n v="0"/>
  </r>
  <r>
    <x v="1191"/>
    <s v="East"/>
    <x v="2"/>
    <s v="Supplier C"/>
    <x v="2"/>
    <x v="0"/>
    <n v="160"/>
    <n v="4179"/>
    <n v="12333.339120000001"/>
    <b v="1"/>
    <n v="22"/>
    <b v="0"/>
    <n v="16374.895420000001"/>
    <n v="2649"/>
    <n v="5287"/>
    <s v="Overstock"/>
    <n v="6.0400151000377503E-2"/>
    <s v="Slow"/>
    <n v="77.083369500000003"/>
    <n v="0.50104028749763574"/>
    <s v="Optimal"/>
    <n v="0"/>
  </r>
  <r>
    <x v="1192"/>
    <s v="North"/>
    <x v="3"/>
    <s v="Supplier C"/>
    <x v="2"/>
    <x v="0"/>
    <n v="662"/>
    <n v="1119"/>
    <n v="13002.065640000001"/>
    <b v="1"/>
    <n v="20"/>
    <b v="0"/>
    <n v="63905.56695"/>
    <n v="1292.5"/>
    <n v="9580"/>
    <s v="Understock"/>
    <n v="0.51218568665377173"/>
    <s v="Slow"/>
    <n v="19.640582537764352"/>
    <n v="0.13491649269311065"/>
    <s v="Under Utilized"/>
    <n v="0"/>
  </r>
  <r>
    <x v="1193"/>
    <s v="North"/>
    <x v="2"/>
    <s v="Supplier B"/>
    <x v="2"/>
    <x v="0"/>
    <n v="601"/>
    <n v="1466"/>
    <n v="2487.265641"/>
    <b v="1"/>
    <n v="16"/>
    <b v="0"/>
    <n v="95124.608139999997"/>
    <n v="2741"/>
    <n v="8424"/>
    <s v="Understock"/>
    <n v="0.2192630426851514"/>
    <s v="Slow"/>
    <n v="4.138545159733777"/>
    <n v="0.32537986704653371"/>
    <s v="Under Utilized"/>
    <n v="0"/>
  </r>
  <r>
    <x v="1194"/>
    <s v="West"/>
    <x v="3"/>
    <s v="Supplier A"/>
    <x v="2"/>
    <x v="0"/>
    <n v="327"/>
    <n v="4016"/>
    <n v="6940.6672449999996"/>
    <b v="1"/>
    <n v="18"/>
    <b v="0"/>
    <n v="29810.684229999999"/>
    <n v="4252.5"/>
    <n v="5416"/>
    <s v="Understock"/>
    <n v="7.6895943562610231E-2"/>
    <s v="Slow"/>
    <n v="21.225282094801223"/>
    <n v="0.78517355982274739"/>
    <s v="Optimal"/>
    <n v="0"/>
  </r>
  <r>
    <x v="1195"/>
    <s v="East"/>
    <x v="2"/>
    <s v="Supplier C"/>
    <x v="1"/>
    <x v="2"/>
    <n v="488"/>
    <n v="4489"/>
    <n v="13060.376619999999"/>
    <b v="1"/>
    <n v="29"/>
    <b v="0"/>
    <n v="64393.196900000003"/>
    <n v="3614"/>
    <n v="8820"/>
    <s v="Overstock"/>
    <n v="0.13503043718871058"/>
    <s v="Slow"/>
    <n v="26.763066844262294"/>
    <n v="0.40975056689342404"/>
    <s v="Optimal"/>
    <n v="0"/>
  </r>
  <r>
    <x v="1196"/>
    <s v="East"/>
    <x v="3"/>
    <s v="Supplier A"/>
    <x v="2"/>
    <x v="0"/>
    <n v="946"/>
    <n v="2739"/>
    <n v="3052.3589480000001"/>
    <b v="1"/>
    <n v="14"/>
    <b v="0"/>
    <n v="105773.0557"/>
    <n v="2015"/>
    <n v="7697"/>
    <s v="Overstock"/>
    <n v="0.46947890818858562"/>
    <s v="Medium"/>
    <n v="3.2265950824524312"/>
    <n v="0.26179030791217356"/>
    <s v="Under Utilized"/>
    <n v="0"/>
  </r>
  <r>
    <x v="1197"/>
    <s v="North"/>
    <x v="0"/>
    <s v="Supplier C"/>
    <x v="1"/>
    <x v="0"/>
    <n v="637"/>
    <n v="1291"/>
    <n v="3774.6746670000002"/>
    <b v="1"/>
    <n v="15"/>
    <b v="0"/>
    <n v="96050.323910000006"/>
    <n v="758.5"/>
    <n v="5386"/>
    <s v="Overstock"/>
    <n v="0.83981542518127883"/>
    <s v="Slow"/>
    <n v="5.9257059136577714"/>
    <n v="0.14082807278128481"/>
    <s v="Under Utilized"/>
    <n v="0"/>
  </r>
  <r>
    <x v="1198"/>
    <s v="West"/>
    <x v="3"/>
    <s v="Supplier D"/>
    <x v="0"/>
    <x v="2"/>
    <n v="906"/>
    <n v="226"/>
    <n v="11776.90359"/>
    <b v="1"/>
    <n v="2"/>
    <b v="0"/>
    <n v="88010.317020000002"/>
    <n v="1761.5"/>
    <n v="8729"/>
    <s v="Understock"/>
    <n v="0.51433437411297189"/>
    <s v="Fast"/>
    <n v="12.998789834437085"/>
    <n v="0.20179860235994959"/>
    <s v="Under Utilized"/>
    <n v="0"/>
  </r>
  <r>
    <x v="1199"/>
    <s v="East"/>
    <x v="2"/>
    <s v="Supplier A"/>
    <x v="0"/>
    <x v="0"/>
    <n v="613"/>
    <n v="3297"/>
    <n v="14897.680249999999"/>
    <b v="1"/>
    <n v="17"/>
    <b v="0"/>
    <n v="104802.6572"/>
    <n v="1648.5"/>
    <n v="7314"/>
    <s v="Overstock"/>
    <n v="0.3718531998786776"/>
    <s v="Slow"/>
    <n v="24.302904159869492"/>
    <n v="0.22538966365873667"/>
    <s v="Under Utilized"/>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F21B2F-297C-417B-BDBB-D94B2A353FD0}"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9" firstHeaderRow="1" firstDataRow="2" firstDataCol="1"/>
  <pivotFields count="24">
    <pivotField numFmtId="14" showAll="0">
      <items count="1201">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t="default"/>
      </items>
    </pivotField>
    <pivotField showAll="0"/>
    <pivotField axis="axisRow" showAll="0">
      <items count="5">
        <item x="0"/>
        <item x="3"/>
        <item x="2"/>
        <item x="1"/>
        <item t="default"/>
      </items>
    </pivotField>
    <pivotField showAll="0"/>
    <pivotField showAll="0">
      <items count="4">
        <item x="0"/>
        <item h="1" x="1"/>
        <item h="1" x="2"/>
        <item t="default"/>
      </items>
    </pivotField>
    <pivotField axis="axisCol" dataField="1"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2"/>
  </rowFields>
  <rowItems count="5">
    <i>
      <x/>
    </i>
    <i>
      <x v="1"/>
    </i>
    <i>
      <x v="2"/>
    </i>
    <i>
      <x v="3"/>
    </i>
    <i t="grand">
      <x/>
    </i>
  </rowItems>
  <colFields count="1">
    <field x="5"/>
  </colFields>
  <colItems count="4">
    <i>
      <x/>
    </i>
    <i>
      <x v="1"/>
    </i>
    <i>
      <x v="2"/>
    </i>
    <i t="grand">
      <x/>
    </i>
  </colItems>
  <dataFields count="1">
    <dataField name="Count of Order Status" fld="5" subtotal="count" baseField="0" baseItem="0"/>
  </dataFields>
  <chartFormats count="3">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B11362-3374-4F25-A315-8312D3E61F73}"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5" firstHeaderRow="1" firstDataRow="1" firstDataCol="1"/>
  <pivotFields count="24">
    <pivotField numFmtId="14" showAll="0">
      <items count="1201">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t="default"/>
      </items>
    </pivotField>
    <pivotField showAll="0"/>
    <pivotField showAll="0"/>
    <pivotField showAll="0"/>
    <pivotField axis="axisRow" showAll="0">
      <items count="4">
        <item x="0"/>
        <item h="1" x="1"/>
        <item h="1"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4"/>
  </rowFields>
  <rowItems count="2">
    <i>
      <x/>
    </i>
    <i t="grand">
      <x/>
    </i>
  </rowItems>
  <colItems count="1">
    <i/>
  </colItems>
  <dataFields count="1">
    <dataField name="Average of Lead Time (Days)" fld="10" subtotal="average" baseField="4" baseItem="0" numFmtId="2"/>
  </dataField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72874B-5311-4D8F-ACFD-8524EFCC554C}"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E7" firstHeaderRow="1" firstDataRow="2" firstDataCol="1"/>
  <pivotFields count="24">
    <pivotField numFmtId="14" showAll="0">
      <items count="1201">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t="default"/>
      </items>
    </pivotField>
    <pivotField showAll="0"/>
    <pivotField showAll="0"/>
    <pivotField showAll="0"/>
    <pivotField axis="axisRow" showAll="0">
      <items count="4">
        <item x="0"/>
        <item h="1" x="1"/>
        <item h="1" x="2"/>
        <item t="default"/>
      </items>
    </pivotField>
    <pivotField axis="axisCol" dataField="1" showAll="0" sortType="ascending">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axis="axisRow" showAll="0">
      <items count="9">
        <item h="1" x="0"/>
        <item x="1"/>
        <item h="1" x="2"/>
        <item h="1" x="3"/>
        <item h="1" x="4"/>
        <item h="1" x="5"/>
        <item h="1" x="6"/>
        <item h="1" x="7"/>
        <item t="default"/>
      </items>
    </pivotField>
  </pivotFields>
  <rowFields count="2">
    <field x="4"/>
    <field x="23"/>
  </rowFields>
  <rowItems count="3">
    <i>
      <x/>
    </i>
    <i r="1">
      <x v="1"/>
    </i>
    <i t="grand">
      <x/>
    </i>
  </rowItems>
  <colFields count="1">
    <field x="5"/>
  </colFields>
  <colItems count="4">
    <i>
      <x/>
    </i>
    <i>
      <x v="1"/>
    </i>
    <i>
      <x v="2"/>
    </i>
    <i t="grand">
      <x/>
    </i>
  </colItems>
  <dataFields count="1">
    <dataField name="Count of Order Status" fld="5" subtotal="count" showDataAs="percentOfRow" baseField="4" baseItem="0" numFmtId="10"/>
  </dataFields>
  <chartFormats count="23">
    <chartFormat chart="5" format="3" series="1">
      <pivotArea type="data" outline="0" fieldPosition="0">
        <references count="1">
          <reference field="5" count="1" selected="0">
            <x v="0"/>
          </reference>
        </references>
      </pivotArea>
    </chartFormat>
    <chartFormat chart="5" format="4" series="1">
      <pivotArea type="data" outline="0" fieldPosition="0">
        <references count="1">
          <reference field="5" count="1" selected="0">
            <x v="1"/>
          </reference>
        </references>
      </pivotArea>
    </chartFormat>
    <chartFormat chart="5" format="5" series="1">
      <pivotArea type="data" outline="0" fieldPosition="0">
        <references count="1">
          <reference field="5" count="1" selected="0">
            <x v="2"/>
          </reference>
        </references>
      </pivotArea>
    </chartFormat>
    <chartFormat chart="3" format="3" series="1">
      <pivotArea type="data" outline="0" fieldPosition="0">
        <references count="1">
          <reference field="5" count="1" selected="0">
            <x v="0"/>
          </reference>
        </references>
      </pivotArea>
    </chartFormat>
    <chartFormat chart="3" format="4" series="1">
      <pivotArea type="data" outline="0" fieldPosition="0">
        <references count="1">
          <reference field="5" count="1" selected="0">
            <x v="1"/>
          </reference>
        </references>
      </pivotArea>
    </chartFormat>
    <chartFormat chart="3" format="5" series="1">
      <pivotArea type="data" outline="0" fieldPosition="0">
        <references count="1">
          <reference field="5" count="1" selected="0">
            <x v="2"/>
          </reference>
        </references>
      </pivotArea>
    </chartFormat>
    <chartFormat chart="0" format="3" series="1">
      <pivotArea type="data" outline="0" fieldPosition="0">
        <references count="1">
          <reference field="5" count="1" selected="0">
            <x v="0"/>
          </reference>
        </references>
      </pivotArea>
    </chartFormat>
    <chartFormat chart="0" format="4" series="1">
      <pivotArea type="data" outline="0" fieldPosition="0">
        <references count="1">
          <reference field="5" count="1" selected="0">
            <x v="1"/>
          </reference>
        </references>
      </pivotArea>
    </chartFormat>
    <chartFormat chart="0" format="5" series="1">
      <pivotArea type="data" outline="0" fieldPosition="0">
        <references count="1">
          <reference field="5" count="1" selected="0">
            <x v="2"/>
          </reference>
        </references>
      </pivotArea>
    </chartFormat>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 chart="0" format="6" series="1">
      <pivotArea type="data" outline="0" fieldPosition="0">
        <references count="2">
          <reference field="4294967294" count="1" selected="0">
            <x v="0"/>
          </reference>
          <reference field="5" count="1" selected="0">
            <x v="0"/>
          </reference>
        </references>
      </pivotArea>
    </chartFormat>
    <chartFormat chart="0" format="7" series="1">
      <pivotArea type="data" outline="0" fieldPosition="0">
        <references count="2">
          <reference field="4294967294" count="1" selected="0">
            <x v="0"/>
          </reference>
          <reference field="5" count="1" selected="0">
            <x v="1"/>
          </reference>
        </references>
      </pivotArea>
    </chartFormat>
    <chartFormat chart="0" format="8" series="1">
      <pivotArea type="data" outline="0" fieldPosition="0">
        <references count="2">
          <reference field="4294967294" count="1" selected="0">
            <x v="0"/>
          </reference>
          <reference field="5" count="1" selected="0">
            <x v="2"/>
          </reference>
        </references>
      </pivotArea>
    </chartFormat>
    <chartFormat chart="8" format="0" series="1">
      <pivotArea type="data" outline="0" fieldPosition="0">
        <references count="2">
          <reference field="4294967294" count="1" selected="0">
            <x v="0"/>
          </reference>
          <reference field="5" count="1" selected="0">
            <x v="0"/>
          </reference>
        </references>
      </pivotArea>
    </chartFormat>
    <chartFormat chart="8" format="1" series="1">
      <pivotArea type="data" outline="0" fieldPosition="0">
        <references count="2">
          <reference field="4294967294" count="1" selected="0">
            <x v="0"/>
          </reference>
          <reference field="5" count="1" selected="0">
            <x v="1"/>
          </reference>
        </references>
      </pivotArea>
    </chartFormat>
    <chartFormat chart="8" format="2" series="1">
      <pivotArea type="data" outline="0" fieldPosition="0">
        <references count="2">
          <reference field="4294967294" count="1" selected="0">
            <x v="0"/>
          </reference>
          <reference field="5" count="1" selected="0">
            <x v="2"/>
          </reference>
        </references>
      </pivotArea>
    </chartFormat>
    <chartFormat chart="5" format="6" series="1">
      <pivotArea type="data" outline="0" fieldPosition="0">
        <references count="2">
          <reference field="4294967294" count="1" selected="0">
            <x v="0"/>
          </reference>
          <reference field="5" count="1" selected="0">
            <x v="1"/>
          </reference>
        </references>
      </pivotArea>
    </chartFormat>
    <chartFormat chart="5" format="7" series="1">
      <pivotArea type="data" outline="0" fieldPosition="0">
        <references count="2">
          <reference field="4294967294" count="1" selected="0">
            <x v="0"/>
          </reference>
          <reference field="5" count="1" selected="0">
            <x v="2"/>
          </reference>
        </references>
      </pivotArea>
    </chartFormat>
    <chartFormat chart="11" format="6" series="1">
      <pivotArea type="data" outline="0" fieldPosition="0">
        <references count="2">
          <reference field="4294967294" count="1" selected="0">
            <x v="0"/>
          </reference>
          <reference field="5" count="1" selected="0">
            <x v="0"/>
          </reference>
        </references>
      </pivotArea>
    </chartFormat>
    <chartFormat chart="11" format="7" series="1">
      <pivotArea type="data" outline="0" fieldPosition="0">
        <references count="2">
          <reference field="4294967294" count="1" selected="0">
            <x v="0"/>
          </reference>
          <reference field="5" count="1" selected="0">
            <x v="1"/>
          </reference>
        </references>
      </pivotArea>
    </chartFormat>
    <chartFormat chart="11"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3A13F7-5328-43AF-A124-7EC2E4CF15C5}"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3:M6" firstHeaderRow="1" firstDataRow="2" firstDataCol="1"/>
  <pivotFields count="24">
    <pivotField numFmtId="14" showAll="0">
      <items count="1201">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t="default"/>
      </items>
    </pivotField>
    <pivotField showAll="0"/>
    <pivotField showAll="0"/>
    <pivotField showAll="0"/>
    <pivotField axis="axisRow" showAll="0">
      <items count="4">
        <item x="0"/>
        <item h="1" x="1"/>
        <item h="1" x="2"/>
        <item t="default"/>
      </items>
    </pivotField>
    <pivotField axis="axisCol" dataField="1"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4"/>
  </rowFields>
  <rowItems count="2">
    <i>
      <x/>
    </i>
    <i t="grand">
      <x/>
    </i>
  </rowItems>
  <colFields count="1">
    <field x="5"/>
  </colFields>
  <colItems count="4">
    <i>
      <x/>
    </i>
    <i>
      <x v="1"/>
    </i>
    <i>
      <x v="2"/>
    </i>
    <i t="grand">
      <x/>
    </i>
  </colItems>
  <dataFields count="1">
    <dataField name="Count of Order Status" fld="5" subtotal="count" showDataAs="percentOfRow" baseField="4" baseItem="0" numFmtId="10"/>
  </dataFields>
  <chartFormats count="21">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2"/>
          </reference>
        </references>
      </pivotArea>
    </chartFormat>
    <chartFormat chart="3" format="3">
      <pivotArea type="data" outline="0" fieldPosition="0">
        <references count="3">
          <reference field="4294967294" count="1" selected="0">
            <x v="0"/>
          </reference>
          <reference field="4" count="1" selected="0">
            <x v="2"/>
          </reference>
          <reference field="5" count="1" selected="0">
            <x v="1"/>
          </reference>
        </references>
      </pivotArea>
    </chartFormat>
    <chartFormat chart="3" format="4">
      <pivotArea type="data" outline="0" fieldPosition="0">
        <references count="3">
          <reference field="4294967294" count="1" selected="0">
            <x v="0"/>
          </reference>
          <reference field="4" count="1" selected="0">
            <x v="0"/>
          </reference>
          <reference field="5" count="1" selected="0">
            <x v="1"/>
          </reference>
        </references>
      </pivotArea>
    </chartFormat>
    <chartFormat chart="3" format="5">
      <pivotArea type="data" outline="0" fieldPosition="0">
        <references count="3">
          <reference field="4294967294" count="1" selected="0">
            <x v="0"/>
          </reference>
          <reference field="4" count="1" selected="0">
            <x v="1"/>
          </reference>
          <reference field="5" count="1" selected="0">
            <x v="1"/>
          </reference>
        </references>
      </pivotArea>
    </chartFormat>
    <chartFormat chart="3" format="6">
      <pivotArea type="data" outline="0" fieldPosition="0">
        <references count="3">
          <reference field="4294967294" count="1" selected="0">
            <x v="0"/>
          </reference>
          <reference field="4" count="1" selected="0">
            <x v="0"/>
          </reference>
          <reference field="5" count="1" selected="0">
            <x v="0"/>
          </reference>
        </references>
      </pivotArea>
    </chartFormat>
    <chartFormat chart="3" format="7">
      <pivotArea type="data" outline="0" fieldPosition="0">
        <references count="3">
          <reference field="4294967294" count="1" selected="0">
            <x v="0"/>
          </reference>
          <reference field="4" count="1" selected="0">
            <x v="1"/>
          </reference>
          <reference field="5" count="1" selected="0">
            <x v="0"/>
          </reference>
        </references>
      </pivotArea>
    </chartFormat>
    <chartFormat chart="3" format="8">
      <pivotArea type="data" outline="0" fieldPosition="0">
        <references count="3">
          <reference field="4294967294" count="1" selected="0">
            <x v="0"/>
          </reference>
          <reference field="4" count="1" selected="0">
            <x v="2"/>
          </reference>
          <reference field="5" count="1" selected="0">
            <x v="0"/>
          </reference>
        </references>
      </pivotArea>
    </chartFormat>
    <chartFormat chart="5" format="18" series="1">
      <pivotArea type="data" outline="0" fieldPosition="0">
        <references count="2">
          <reference field="4294967294" count="1" selected="0">
            <x v="0"/>
          </reference>
          <reference field="5" count="1" selected="0">
            <x v="0"/>
          </reference>
        </references>
      </pivotArea>
    </chartFormat>
    <chartFormat chart="5" format="19">
      <pivotArea type="data" outline="0" fieldPosition="0">
        <references count="3">
          <reference field="4294967294" count="1" selected="0">
            <x v="0"/>
          </reference>
          <reference field="4" count="1" selected="0">
            <x v="0"/>
          </reference>
          <reference field="5" count="1" selected="0">
            <x v="0"/>
          </reference>
        </references>
      </pivotArea>
    </chartFormat>
    <chartFormat chart="5" format="20">
      <pivotArea type="data" outline="0" fieldPosition="0">
        <references count="3">
          <reference field="4294967294" count="1" selected="0">
            <x v="0"/>
          </reference>
          <reference field="4" count="1" selected="0">
            <x v="1"/>
          </reference>
          <reference field="5" count="1" selected="0">
            <x v="0"/>
          </reference>
        </references>
      </pivotArea>
    </chartFormat>
    <chartFormat chart="5" format="21">
      <pivotArea type="data" outline="0" fieldPosition="0">
        <references count="3">
          <reference field="4294967294" count="1" selected="0">
            <x v="0"/>
          </reference>
          <reference field="4" count="1" selected="0">
            <x v="2"/>
          </reference>
          <reference field="5" count="1" selected="0">
            <x v="0"/>
          </reference>
        </references>
      </pivotArea>
    </chartFormat>
    <chartFormat chart="5" format="22" series="1">
      <pivotArea type="data" outline="0" fieldPosition="0">
        <references count="2">
          <reference field="4294967294" count="1" selected="0">
            <x v="0"/>
          </reference>
          <reference field="5" count="1" selected="0">
            <x v="1"/>
          </reference>
        </references>
      </pivotArea>
    </chartFormat>
    <chartFormat chart="5" format="23">
      <pivotArea type="data" outline="0" fieldPosition="0">
        <references count="3">
          <reference field="4294967294" count="1" selected="0">
            <x v="0"/>
          </reference>
          <reference field="4" count="1" selected="0">
            <x v="0"/>
          </reference>
          <reference field="5" count="1" selected="0">
            <x v="1"/>
          </reference>
        </references>
      </pivotArea>
    </chartFormat>
    <chartFormat chart="5" format="24">
      <pivotArea type="data" outline="0" fieldPosition="0">
        <references count="3">
          <reference field="4294967294" count="1" selected="0">
            <x v="0"/>
          </reference>
          <reference field="4" count="1" selected="0">
            <x v="1"/>
          </reference>
          <reference field="5" count="1" selected="0">
            <x v="1"/>
          </reference>
        </references>
      </pivotArea>
    </chartFormat>
    <chartFormat chart="5" format="25">
      <pivotArea type="data" outline="0" fieldPosition="0">
        <references count="3">
          <reference field="4294967294" count="1" selected="0">
            <x v="0"/>
          </reference>
          <reference field="4" count="1" selected="0">
            <x v="2"/>
          </reference>
          <reference field="5" count="1" selected="0">
            <x v="1"/>
          </reference>
        </references>
      </pivotArea>
    </chartFormat>
    <chartFormat chart="5" format="26"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E0F3C2-B852-4DD1-8DFB-217621859625}"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6" firstHeaderRow="1" firstDataRow="2" firstDataCol="1"/>
  <pivotFields count="24">
    <pivotField numFmtId="14" showAll="0">
      <items count="1201">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t="default"/>
      </items>
    </pivotField>
    <pivotField showAll="0"/>
    <pivotField showAll="0"/>
    <pivotField showAll="0"/>
    <pivotField axis="axisRow" showAll="0">
      <items count="4">
        <item x="0"/>
        <item h="1" x="1"/>
        <item h="1" x="2"/>
        <item t="default"/>
      </items>
    </pivotField>
    <pivotField axis="axisCol" dataField="1"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4"/>
  </rowFields>
  <rowItems count="2">
    <i>
      <x/>
    </i>
    <i t="grand">
      <x/>
    </i>
  </rowItems>
  <colFields count="1">
    <field x="5"/>
  </colFields>
  <colItems count="4">
    <i>
      <x/>
    </i>
    <i>
      <x v="1"/>
    </i>
    <i>
      <x v="2"/>
    </i>
    <i t="grand">
      <x/>
    </i>
  </colItems>
  <dataFields count="1">
    <dataField name="Count of Order Status" fld="5" subtotal="count" showDataAs="percentOfRow" baseField="4" baseItem="0" numFmtId="10"/>
  </dataFields>
  <chartFormats count="6">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4"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C4CDE5-A33E-4144-8DFE-4CB3DD702753}"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4">
    <pivotField numFmtId="14" showAll="0">
      <items count="1201">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t="default"/>
      </items>
    </pivotField>
    <pivotField showAll="0"/>
    <pivotField showAll="0"/>
    <pivotField showAll="0"/>
    <pivotField showAll="0">
      <items count="4">
        <item x="0"/>
        <item h="1" x="1"/>
        <item h="1" x="2"/>
        <item t="default"/>
      </items>
    </pivotField>
    <pivotField axis="axisRow" dataField="1"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8">
        <item x="0"/>
        <item x="1"/>
        <item x="2"/>
        <item x="3"/>
        <item x="4"/>
        <item x="5"/>
        <item x="6"/>
        <item x="7"/>
      </items>
    </pivotField>
  </pivotFields>
  <rowFields count="1">
    <field x="5"/>
  </rowFields>
  <rowItems count="4">
    <i>
      <x/>
    </i>
    <i>
      <x v="1"/>
    </i>
    <i>
      <x v="2"/>
    </i>
    <i t="grand">
      <x/>
    </i>
  </rowItems>
  <colItems count="1">
    <i/>
  </colItems>
  <dataFields count="1">
    <dataField name="Count of Order Status" fld="5" subtotal="count" showDataAs="percentOfTotal" baseField="5" baseItem="0" numFmtId="10"/>
  </dataFields>
  <formats count="3">
    <format dxfId="41">
      <pivotArea collapsedLevelsAreSubtotals="1" fieldPosition="0">
        <references count="1">
          <reference field="5" count="1">
            <x v="1"/>
          </reference>
        </references>
      </pivotArea>
    </format>
    <format dxfId="40">
      <pivotArea collapsedLevelsAreSubtotals="1" fieldPosition="0">
        <references count="1">
          <reference field="5" count="1">
            <x v="0"/>
          </reference>
        </references>
      </pivotArea>
    </format>
    <format dxfId="39">
      <pivotArea collapsedLevelsAreSubtotals="1" fieldPosition="0">
        <references count="1">
          <reference field="5"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8D361AD-DB76-48D7-8919-B75EC70E5E01}" autoFormatId="16" applyNumberFormats="0" applyBorderFormats="0" applyFontFormats="0" applyPatternFormats="0" applyAlignmentFormats="0" applyWidthHeightFormats="0">
  <queryTableRefresh nextId="23">
    <queryTableFields count="22">
      <queryTableField id="1" name="Date" tableColumnId="1"/>
      <queryTableField id="2" name="Region" tableColumnId="2"/>
      <queryTableField id="3" name="Category" tableColumnId="3"/>
      <queryTableField id="4" name="Supplier" tableColumnId="4"/>
      <queryTableField id="5" name="Warehouse" tableColumnId="5"/>
      <queryTableField id="6" name="Order Status" tableColumnId="6"/>
      <queryTableField id="7" name="Units Sold" tableColumnId="7"/>
      <queryTableField id="8" name="Inventory Level" tableColumnId="8"/>
      <queryTableField id="9" name="Transportation Cost" tableColumnId="9"/>
      <queryTableField id="10" name="Order Accuracy" tableColumnId="10"/>
      <queryTableField id="11" name="Lead Time (Days)" tableColumnId="11"/>
      <queryTableField id="12" name="Backorder" tableColumnId="12"/>
      <queryTableField id="13" name="Cost of Goods Sold (COGS)" tableColumnId="13"/>
      <queryTableField id="14" name="Average Inventory" tableColumnId="14"/>
      <queryTableField id="15" name="Warehouse Capacity" tableColumnId="15"/>
      <queryTableField id="16" name="inventory_status" tableColumnId="16"/>
      <queryTableField id="17" name="inventory_turnover" tableColumnId="17"/>
      <queryTableField id="18" name="lead_time_category" tableColumnId="18"/>
      <queryTableField id="19" name="cost_per_unit" tableColumnId="19"/>
      <queryTableField id="20" name="warehouse_utilization" tableColumnId="20"/>
      <queryTableField id="21" name="warehouse_risk" tableColumnId="21"/>
      <queryTableField id="22" name="backorder_flag"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 xr10:uid="{30C62C96-917F-46A8-8981-EBC6FAF327E3}" sourceName="Warehouse">
  <pivotTables>
    <pivotTable tabId="5" name="PivotTable3"/>
    <pivotTable tabId="6" name="PivotTable1"/>
    <pivotTable tabId="6" name="PivotTable4"/>
    <pivotTable tabId="8" name="PivotTable1"/>
    <pivotTable tabId="3" name="PivotTable1"/>
    <pivotTable tabId="4" name="PivotTable2"/>
  </pivotTables>
  <data>
    <tabular pivotCacheId="1996766463">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0FDF426A-D5FD-4914-B353-F4C87408F8ED}" sourceName="Years (Date)">
  <pivotTables>
    <pivotTable tabId="5" name="PivotTable3"/>
  </pivotTables>
  <data>
    <tabular pivotCacheId="1996766463">
      <items count="8">
        <i x="1" s="1"/>
        <i x="3"/>
        <i x="4"/>
        <i x="5"/>
        <i x="0" nd="1"/>
        <i x="7" nd="1"/>
        <i x="2" nd="1"/>
        <i x="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arehouse" xr10:uid="{EB5EE5AD-18B8-4EEF-9A12-1E25F11AA1CE}" cache="Slicer_Warehouse" caption="Warehouse" rowHeight="234950"/>
  <slicer name="Years (Date)" xr10:uid="{B3257100-D3A8-431A-B2C8-D95B6FB4D02E}" cache="Slicer_Years__Date" caption="Years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arehouse 1" xr10:uid="{70A6AE89-7E13-4EC5-8278-3965AF7F617E}" cache="Slicer_Warehouse" caption="Warehous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0E8C3A-40E3-40FF-8534-BFD3A65B2CDB}" name="supply_chain_cleaned" displayName="supply_chain_cleaned" ref="A1:V1201" tableType="queryTable" totalsRowShown="0">
  <autoFilter ref="A1:V1201" xr:uid="{940E8C3A-40E3-40FF-8534-BFD3A65B2CDB}"/>
  <tableColumns count="22">
    <tableColumn id="1" xr3:uid="{F534767C-AE3C-4A9C-A62F-53B3F9EEEDF0}" uniqueName="1" name="Date" queryTableFieldId="1" dataDxfId="50"/>
    <tableColumn id="2" xr3:uid="{59387510-DD5D-4B27-84C5-CA4F85733EC6}" uniqueName="2" name="Region" queryTableFieldId="2" dataDxfId="49"/>
    <tableColumn id="3" xr3:uid="{957C4699-2A2E-4CCC-B95C-07092F7C29F3}" uniqueName="3" name="Category" queryTableFieldId="3" dataDxfId="48"/>
    <tableColumn id="4" xr3:uid="{3859CD8D-F626-4E3A-BE7C-F0782DAF19DE}" uniqueName="4" name="Supplier" queryTableFieldId="4" dataDxfId="47"/>
    <tableColumn id="5" xr3:uid="{DEDC23A2-6DA5-40F2-A3BD-4149514D5432}" uniqueName="5" name="Warehouse" queryTableFieldId="5" dataDxfId="46"/>
    <tableColumn id="6" xr3:uid="{06B5DB94-BEE9-441B-B964-3708AF0169FB}" uniqueName="6" name="Order Status" queryTableFieldId="6" dataDxfId="45"/>
    <tableColumn id="7" xr3:uid="{8E418329-C830-4D4B-9014-A894EE02D115}" uniqueName="7" name="Units Sold" queryTableFieldId="7"/>
    <tableColumn id="8" xr3:uid="{31563A66-C9CC-4A93-9A91-81A2F54D2E95}" uniqueName="8" name="Inventory Level" queryTableFieldId="8"/>
    <tableColumn id="9" xr3:uid="{BF71630D-7B6A-4B16-B70F-654AABB3E8A9}" uniqueName="9" name="Transportation Cost" queryTableFieldId="9"/>
    <tableColumn id="10" xr3:uid="{342B7DE0-1EFF-42C7-B25C-8ED13C92155E}" uniqueName="10" name="Order Accuracy" queryTableFieldId="10"/>
    <tableColumn id="11" xr3:uid="{642BAA84-B58C-4453-AA17-0B7B0E517BDC}" uniqueName="11" name="Lead Time (Days)" queryTableFieldId="11"/>
    <tableColumn id="12" xr3:uid="{C611E042-C3EB-4C9B-AEA6-60CFE613622B}" uniqueName="12" name="Backorder" queryTableFieldId="12"/>
    <tableColumn id="13" xr3:uid="{F74AF3E2-5350-477A-820A-74754DEA8A1E}" uniqueName="13" name="Cost of Goods Sold (COGS)" queryTableFieldId="13"/>
    <tableColumn id="14" xr3:uid="{2AF3E33F-7FDE-491B-81B6-4E17C00961C1}" uniqueName="14" name="Average Inventory" queryTableFieldId="14"/>
    <tableColumn id="15" xr3:uid="{0272E444-0D2F-42B1-86A4-48AEB308DB89}" uniqueName="15" name="Warehouse Capacity" queryTableFieldId="15"/>
    <tableColumn id="16" xr3:uid="{F63C8D57-40B7-40DA-AC83-C6CAB97F6BA7}" uniqueName="16" name="inventory_status" queryTableFieldId="16" dataDxfId="44"/>
    <tableColumn id="17" xr3:uid="{C58902CD-9215-47FD-BA7E-D61953D87AB9}" uniqueName="17" name="inventory_turnover" queryTableFieldId="17"/>
    <tableColumn id="18" xr3:uid="{D1520D82-6C6A-46FE-AE91-0AA104FAADB5}" uniqueName="18" name="lead_time_category" queryTableFieldId="18" dataDxfId="43"/>
    <tableColumn id="19" xr3:uid="{94434207-A557-419C-9416-F004664249F1}" uniqueName="19" name="cost_per_unit" queryTableFieldId="19"/>
    <tableColumn id="20" xr3:uid="{D759FDD3-D6A6-42CB-8B4E-FA3E96923E01}" uniqueName="20" name="warehouse_utilization" queryTableFieldId="20"/>
    <tableColumn id="21" xr3:uid="{7C8884E6-EF6F-4316-B764-8E8104C0E28E}" uniqueName="21" name="warehouse_risk" queryTableFieldId="21" dataDxfId="42"/>
    <tableColumn id="22" xr3:uid="{A6754E74-8736-4BA5-9956-8BA983F1D799}" uniqueName="22" name="backorder_flag" queryTableFieldId="2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D1A8A-D540-48A2-85B2-134008CF1994}">
  <dimension ref="A3:E9"/>
  <sheetViews>
    <sheetView workbookViewId="0">
      <selection activeCell="N16" sqref="N16"/>
    </sheetView>
  </sheetViews>
  <sheetFormatPr defaultRowHeight="14.4" x14ac:dyDescent="0.3"/>
  <cols>
    <col min="1" max="1" width="19.44140625" bestFit="1" customWidth="1"/>
    <col min="2" max="2" width="15.5546875" bestFit="1" customWidth="1"/>
    <col min="3" max="3" width="7.5546875" bestFit="1" customWidth="1"/>
    <col min="4" max="4" width="7.88671875" bestFit="1" customWidth="1"/>
    <col min="5" max="5" width="10.77734375" bestFit="1" customWidth="1"/>
  </cols>
  <sheetData>
    <row r="3" spans="1:5" x14ac:dyDescent="0.3">
      <c r="A3" s="2" t="s">
        <v>50</v>
      </c>
      <c r="B3" s="2" t="s">
        <v>51</v>
      </c>
    </row>
    <row r="4" spans="1:5" x14ac:dyDescent="0.3">
      <c r="A4" s="2" t="s">
        <v>48</v>
      </c>
      <c r="B4" t="s">
        <v>39</v>
      </c>
      <c r="C4" t="s">
        <v>26</v>
      </c>
      <c r="D4" t="s">
        <v>43</v>
      </c>
      <c r="E4" t="s">
        <v>49</v>
      </c>
    </row>
    <row r="5" spans="1:5" x14ac:dyDescent="0.3">
      <c r="A5" s="3" t="s">
        <v>23</v>
      </c>
      <c r="B5" s="7">
        <v>5</v>
      </c>
      <c r="C5" s="7">
        <v>56</v>
      </c>
      <c r="D5" s="7">
        <v>20</v>
      </c>
      <c r="E5" s="7">
        <v>81</v>
      </c>
    </row>
    <row r="6" spans="1:5" x14ac:dyDescent="0.3">
      <c r="A6" s="3" t="s">
        <v>44</v>
      </c>
      <c r="B6" s="7">
        <v>9</v>
      </c>
      <c r="C6" s="7">
        <v>78</v>
      </c>
      <c r="D6" s="7">
        <v>21</v>
      </c>
      <c r="E6" s="7">
        <v>108</v>
      </c>
    </row>
    <row r="7" spans="1:5" x14ac:dyDescent="0.3">
      <c r="A7" s="3" t="s">
        <v>41</v>
      </c>
      <c r="B7" s="7">
        <v>14</v>
      </c>
      <c r="C7" s="7">
        <v>74</v>
      </c>
      <c r="D7" s="7">
        <v>25</v>
      </c>
      <c r="E7" s="7">
        <v>113</v>
      </c>
    </row>
    <row r="8" spans="1:5" x14ac:dyDescent="0.3">
      <c r="A8" s="3" t="s">
        <v>31</v>
      </c>
      <c r="B8" s="7">
        <v>6</v>
      </c>
      <c r="C8" s="7">
        <v>70</v>
      </c>
      <c r="D8" s="7">
        <v>25</v>
      </c>
      <c r="E8" s="7">
        <v>101</v>
      </c>
    </row>
    <row r="9" spans="1:5" x14ac:dyDescent="0.3">
      <c r="A9" s="3" t="s">
        <v>49</v>
      </c>
      <c r="B9" s="7">
        <v>34</v>
      </c>
      <c r="C9" s="7">
        <v>278</v>
      </c>
      <c r="D9" s="7">
        <v>91</v>
      </c>
      <c r="E9" s="7">
        <v>403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4C41C-20AD-4BB4-9A61-73983AAC81DB}">
  <dimension ref="A3:B5"/>
  <sheetViews>
    <sheetView workbookViewId="0">
      <selection activeCell="B4" sqref="B4"/>
    </sheetView>
  </sheetViews>
  <sheetFormatPr defaultRowHeight="14.4" x14ac:dyDescent="0.3"/>
  <cols>
    <col min="1" max="1" width="12.5546875" bestFit="1" customWidth="1"/>
    <col min="2" max="2" width="25.21875" bestFit="1" customWidth="1"/>
  </cols>
  <sheetData>
    <row r="3" spans="1:2" x14ac:dyDescent="0.3">
      <c r="A3" s="2" t="s">
        <v>48</v>
      </c>
      <c r="B3" t="s">
        <v>52</v>
      </c>
    </row>
    <row r="4" spans="1:2" x14ac:dyDescent="0.3">
      <c r="A4" s="3" t="s">
        <v>25</v>
      </c>
      <c r="B4" s="4">
        <v>16.166253101736974</v>
      </c>
    </row>
    <row r="5" spans="1:2" x14ac:dyDescent="0.3">
      <c r="A5" s="3" t="s">
        <v>49</v>
      </c>
      <c r="B5" s="4">
        <v>16.166253101736974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B25AA-E018-48B0-A196-661C5C428D71}">
  <dimension ref="A3:E7"/>
  <sheetViews>
    <sheetView topLeftCell="A4" workbookViewId="0">
      <selection activeCell="B9" sqref="B9"/>
    </sheetView>
  </sheetViews>
  <sheetFormatPr defaultRowHeight="14.4" x14ac:dyDescent="0.3"/>
  <cols>
    <col min="1" max="1" width="19.44140625" bestFit="1" customWidth="1"/>
    <col min="2" max="2" width="15.5546875" bestFit="1" customWidth="1"/>
    <col min="3" max="3" width="7.5546875" bestFit="1" customWidth="1"/>
    <col min="4" max="4" width="7.88671875" bestFit="1" customWidth="1"/>
    <col min="5" max="5" width="10.77734375" bestFit="1" customWidth="1"/>
    <col min="6" max="6" width="19.44140625" bestFit="1" customWidth="1"/>
    <col min="7" max="7" width="12.6640625" bestFit="1" customWidth="1"/>
    <col min="8" max="8" width="24.21875" bestFit="1" customWidth="1"/>
    <col min="9" max="9" width="17.5546875" bestFit="1" customWidth="1"/>
  </cols>
  <sheetData>
    <row r="3" spans="1:5" x14ac:dyDescent="0.3">
      <c r="A3" s="2" t="s">
        <v>50</v>
      </c>
      <c r="B3" s="2" t="s">
        <v>51</v>
      </c>
    </row>
    <row r="4" spans="1:5" x14ac:dyDescent="0.3">
      <c r="A4" s="2" t="s">
        <v>48</v>
      </c>
      <c r="B4" t="s">
        <v>39</v>
      </c>
      <c r="C4" t="s">
        <v>26</v>
      </c>
      <c r="D4" t="s">
        <v>43</v>
      </c>
      <c r="E4" t="s">
        <v>49</v>
      </c>
    </row>
    <row r="5" spans="1:5" x14ac:dyDescent="0.3">
      <c r="A5" s="3" t="s">
        <v>25</v>
      </c>
      <c r="B5" s="5">
        <v>0.14285714285714285</v>
      </c>
      <c r="C5" s="5">
        <v>0.6071428571428571</v>
      </c>
      <c r="D5" s="5">
        <v>0.25</v>
      </c>
      <c r="E5" s="5">
        <v>1</v>
      </c>
    </row>
    <row r="6" spans="1:5" x14ac:dyDescent="0.3">
      <c r="A6" s="8" t="s">
        <v>53</v>
      </c>
      <c r="B6" s="5">
        <v>0.14285714285714285</v>
      </c>
      <c r="C6" s="5">
        <v>0.6071428571428571</v>
      </c>
      <c r="D6" s="5">
        <v>0.25</v>
      </c>
      <c r="E6" s="5">
        <v>1</v>
      </c>
    </row>
    <row r="7" spans="1:5" x14ac:dyDescent="0.3">
      <c r="A7" s="3" t="s">
        <v>49</v>
      </c>
      <c r="B7" s="5">
        <v>0.14285714285714285</v>
      </c>
      <c r="C7" s="5">
        <v>0.6071428571428571</v>
      </c>
      <c r="D7" s="5">
        <v>0.25</v>
      </c>
      <c r="E7" s="5">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D8DC5-BCAE-4499-AEC9-6D3F5D32C9B3}">
  <dimension ref="A3:M6"/>
  <sheetViews>
    <sheetView workbookViewId="0">
      <selection activeCell="E6" sqref="E6"/>
    </sheetView>
  </sheetViews>
  <sheetFormatPr defaultRowHeight="14.4" x14ac:dyDescent="0.3"/>
  <cols>
    <col min="1" max="1" width="19.44140625" bestFit="1" customWidth="1"/>
    <col min="2" max="2" width="15.5546875" bestFit="1" customWidth="1"/>
    <col min="3" max="3" width="7.5546875" bestFit="1" customWidth="1"/>
    <col min="4" max="4" width="7.88671875" bestFit="1" customWidth="1"/>
    <col min="5" max="5" width="10.77734375" bestFit="1" customWidth="1"/>
    <col min="9" max="9" width="19.44140625" bestFit="1" customWidth="1"/>
    <col min="10" max="10" width="15.5546875" bestFit="1" customWidth="1"/>
    <col min="11" max="11" width="7.5546875" bestFit="1" customWidth="1"/>
    <col min="12" max="12" width="7.88671875" bestFit="1" customWidth="1"/>
    <col min="13" max="13" width="10.77734375" bestFit="1" customWidth="1"/>
  </cols>
  <sheetData>
    <row r="3" spans="1:13" x14ac:dyDescent="0.3">
      <c r="A3" s="2" t="s">
        <v>50</v>
      </c>
      <c r="B3" s="2" t="s">
        <v>51</v>
      </c>
      <c r="I3" s="2" t="s">
        <v>50</v>
      </c>
      <c r="J3" s="2" t="s">
        <v>51</v>
      </c>
    </row>
    <row r="4" spans="1:13" x14ac:dyDescent="0.3">
      <c r="A4" s="2" t="s">
        <v>48</v>
      </c>
      <c r="B4" t="s">
        <v>39</v>
      </c>
      <c r="C4" t="s">
        <v>26</v>
      </c>
      <c r="D4" t="s">
        <v>43</v>
      </c>
      <c r="E4" t="s">
        <v>49</v>
      </c>
      <c r="I4" s="2" t="s">
        <v>48</v>
      </c>
      <c r="J4" t="s">
        <v>39</v>
      </c>
      <c r="K4" t="s">
        <v>26</v>
      </c>
      <c r="L4" t="s">
        <v>43</v>
      </c>
      <c r="M4" t="s">
        <v>49</v>
      </c>
    </row>
    <row r="5" spans="1:13" x14ac:dyDescent="0.3">
      <c r="A5" s="3" t="s">
        <v>25</v>
      </c>
      <c r="B5" s="5">
        <v>8.4367245657568243E-2</v>
      </c>
      <c r="C5" s="5">
        <v>0.6898263027295285</v>
      </c>
      <c r="D5" s="5">
        <v>0.22580645161290322</v>
      </c>
      <c r="E5" s="5">
        <v>1</v>
      </c>
      <c r="I5" s="3" t="s">
        <v>25</v>
      </c>
      <c r="J5" s="5">
        <v>8.4367245657568243E-2</v>
      </c>
      <c r="K5" s="5">
        <v>0.6898263027295285</v>
      </c>
      <c r="L5" s="5">
        <v>0.22580645161290322</v>
      </c>
      <c r="M5" s="5">
        <v>1</v>
      </c>
    </row>
    <row r="6" spans="1:13" x14ac:dyDescent="0.3">
      <c r="A6" s="3" t="s">
        <v>49</v>
      </c>
      <c r="B6" s="5">
        <v>8.4367245657568243E-2</v>
      </c>
      <c r="C6" s="5">
        <v>0.6898263027295285</v>
      </c>
      <c r="D6" s="5">
        <v>0.22580645161290322</v>
      </c>
      <c r="E6" s="5">
        <v>1</v>
      </c>
      <c r="I6" s="3" t="s">
        <v>49</v>
      </c>
      <c r="J6" s="5">
        <v>8.4367245657568243E-2</v>
      </c>
      <c r="K6" s="5">
        <v>0.6898263027295285</v>
      </c>
      <c r="L6" s="5">
        <v>0.22580645161290322</v>
      </c>
      <c r="M6" s="5">
        <v>1</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45492-CDDC-4540-9791-0AAE58395E4D}">
  <dimension ref="A1:Z35"/>
  <sheetViews>
    <sheetView tabSelected="1" workbookViewId="0">
      <selection activeCell="Q3" sqref="Q3"/>
    </sheetView>
  </sheetViews>
  <sheetFormatPr defaultRowHeight="14.4" x14ac:dyDescent="0.3"/>
  <sheetData>
    <row r="1" spans="1:26" x14ac:dyDescent="0.3">
      <c r="A1" s="6"/>
      <c r="B1" s="6"/>
      <c r="C1" s="6"/>
      <c r="D1" s="6"/>
      <c r="E1" s="6"/>
      <c r="F1" s="6"/>
      <c r="G1" s="6"/>
      <c r="H1" s="6"/>
      <c r="I1" s="6"/>
      <c r="J1" s="6"/>
      <c r="K1" s="6"/>
      <c r="L1" s="6"/>
      <c r="M1" s="6"/>
      <c r="N1" s="6"/>
      <c r="O1" s="6"/>
      <c r="P1" s="6"/>
      <c r="Q1" s="6"/>
      <c r="R1" s="6"/>
      <c r="S1" s="6"/>
      <c r="T1" s="6"/>
      <c r="U1" s="6"/>
      <c r="V1" s="6"/>
      <c r="W1" s="6"/>
      <c r="X1" s="6"/>
      <c r="Y1" s="6"/>
    </row>
    <row r="2" spans="1:26" x14ac:dyDescent="0.3">
      <c r="A2" s="6"/>
      <c r="B2" s="6"/>
      <c r="C2" s="6"/>
      <c r="D2" s="6"/>
      <c r="E2" s="6"/>
      <c r="F2" s="6"/>
      <c r="G2" s="6"/>
      <c r="H2" s="6"/>
      <c r="I2" s="6"/>
      <c r="J2" s="6"/>
      <c r="K2" s="6"/>
      <c r="L2" s="6"/>
      <c r="M2" s="6"/>
      <c r="N2" s="6"/>
      <c r="O2" s="6"/>
      <c r="P2" s="6"/>
      <c r="Q2" s="6"/>
      <c r="R2" s="6"/>
      <c r="S2" s="6"/>
      <c r="T2" s="6"/>
      <c r="U2" s="6"/>
      <c r="V2" s="6"/>
      <c r="W2" s="6"/>
      <c r="X2" s="6"/>
      <c r="Y2" s="6"/>
      <c r="Z2" s="5">
        <f>Pivot_KPI_Helper!B5</f>
        <v>0.6898263027295285</v>
      </c>
    </row>
    <row r="3" spans="1:26" x14ac:dyDescent="0.3">
      <c r="A3" s="6"/>
      <c r="B3" s="6"/>
      <c r="C3" s="6"/>
      <c r="D3" s="6"/>
      <c r="E3" s="6"/>
      <c r="F3" s="6"/>
      <c r="G3" s="6"/>
      <c r="H3" s="6"/>
      <c r="I3" s="6"/>
      <c r="J3" s="6"/>
      <c r="K3" s="6"/>
      <c r="L3" s="6"/>
      <c r="M3" s="6"/>
      <c r="N3" s="6"/>
      <c r="O3" s="6"/>
      <c r="P3" s="6"/>
      <c r="Q3" s="6"/>
      <c r="R3" s="6"/>
      <c r="S3" s="6"/>
      <c r="T3" s="6"/>
      <c r="U3" s="6"/>
      <c r="V3" s="6"/>
      <c r="W3" s="6"/>
      <c r="X3" s="6"/>
      <c r="Y3" s="6"/>
    </row>
    <row r="4" spans="1:26" x14ac:dyDescent="0.3">
      <c r="A4" s="6"/>
      <c r="B4" s="6"/>
      <c r="C4" s="6"/>
      <c r="D4" s="6"/>
      <c r="E4" s="6"/>
      <c r="F4" s="6"/>
      <c r="G4" s="6"/>
      <c r="H4" s="6"/>
      <c r="I4" s="6"/>
      <c r="J4" s="6"/>
      <c r="K4" s="6"/>
      <c r="L4" s="6"/>
      <c r="M4" s="6"/>
      <c r="N4" s="6"/>
      <c r="O4" s="6"/>
      <c r="P4" s="6"/>
      <c r="Q4" s="6"/>
      <c r="R4" s="6"/>
      <c r="S4" s="6"/>
      <c r="T4" s="6"/>
      <c r="U4" s="6"/>
      <c r="V4" s="6"/>
      <c r="W4" s="6"/>
      <c r="X4" s="6"/>
      <c r="Y4" s="6"/>
    </row>
    <row r="5" spans="1:26" x14ac:dyDescent="0.3">
      <c r="A5" s="6"/>
      <c r="B5" s="6"/>
      <c r="C5" s="6"/>
      <c r="D5" s="6"/>
      <c r="E5" s="6"/>
      <c r="F5" s="6"/>
      <c r="G5" s="6"/>
      <c r="H5" s="6"/>
      <c r="I5" s="6"/>
      <c r="J5" s="6"/>
      <c r="K5" s="6"/>
      <c r="L5" s="6"/>
      <c r="M5" s="6"/>
      <c r="N5" s="6"/>
      <c r="O5" s="6"/>
      <c r="P5" s="6"/>
      <c r="Q5" s="6"/>
      <c r="R5" s="6"/>
      <c r="S5" s="6"/>
      <c r="T5" s="6"/>
      <c r="U5" s="6"/>
      <c r="V5" s="6"/>
      <c r="W5" s="6"/>
      <c r="X5" s="6"/>
      <c r="Y5" s="6"/>
    </row>
    <row r="6" spans="1:26" x14ac:dyDescent="0.3">
      <c r="A6" s="6"/>
      <c r="B6" s="6"/>
      <c r="C6" s="6"/>
      <c r="D6" s="6"/>
      <c r="E6" s="6"/>
      <c r="F6" s="6"/>
      <c r="G6" s="6"/>
      <c r="H6" s="6"/>
      <c r="I6" s="6"/>
      <c r="J6" s="6"/>
      <c r="K6" s="6"/>
      <c r="L6" s="6"/>
      <c r="M6" s="6"/>
      <c r="N6" s="6"/>
      <c r="O6" s="6"/>
      <c r="P6" s="6"/>
      <c r="Q6" s="6"/>
      <c r="R6" s="6"/>
      <c r="S6" s="6"/>
      <c r="T6" s="6"/>
      <c r="U6" s="6"/>
      <c r="V6" s="6"/>
      <c r="W6" s="6"/>
      <c r="X6" s="6"/>
      <c r="Y6" s="6"/>
    </row>
    <row r="7" spans="1:26" x14ac:dyDescent="0.3">
      <c r="A7" s="6"/>
      <c r="B7" s="6"/>
      <c r="C7" s="6"/>
      <c r="D7" s="6"/>
      <c r="E7" s="6"/>
      <c r="F7" s="6"/>
      <c r="G7" s="6"/>
      <c r="H7" s="6"/>
      <c r="I7" s="6"/>
      <c r="J7" s="6"/>
      <c r="K7" s="6"/>
      <c r="L7" s="6"/>
      <c r="M7" s="6"/>
      <c r="N7" s="6"/>
      <c r="O7" s="6"/>
      <c r="P7" s="6"/>
      <c r="Q7" s="6"/>
      <c r="R7" s="6"/>
      <c r="S7" s="6"/>
      <c r="T7" s="6"/>
      <c r="U7" s="6"/>
      <c r="V7" s="6"/>
      <c r="W7" s="6"/>
      <c r="X7" s="6"/>
      <c r="Y7" s="6"/>
    </row>
    <row r="8" spans="1:26" x14ac:dyDescent="0.3">
      <c r="A8" s="6"/>
      <c r="B8" s="6"/>
      <c r="C8" s="6"/>
      <c r="D8" s="6"/>
      <c r="E8" s="6"/>
      <c r="F8" s="6"/>
      <c r="G8" s="6"/>
      <c r="H8" s="6"/>
      <c r="I8" s="6"/>
      <c r="J8" s="6"/>
      <c r="K8" s="6"/>
      <c r="L8" s="6"/>
      <c r="M8" s="6"/>
      <c r="N8" s="6"/>
      <c r="O8" s="6"/>
      <c r="P8" s="6"/>
      <c r="Q8" s="6"/>
      <c r="R8" s="6"/>
      <c r="S8" s="6"/>
      <c r="T8" s="6"/>
      <c r="U8" s="6"/>
      <c r="V8" s="6"/>
      <c r="W8" s="6"/>
      <c r="X8" s="6"/>
      <c r="Y8" s="6"/>
    </row>
    <row r="9" spans="1:26" x14ac:dyDescent="0.3">
      <c r="A9" s="6"/>
      <c r="B9" s="6"/>
      <c r="C9" s="6"/>
      <c r="D9" s="6"/>
      <c r="E9" s="6"/>
      <c r="F9" s="6"/>
      <c r="G9" s="6"/>
      <c r="H9" s="6"/>
      <c r="I9" s="6"/>
      <c r="J9" s="6"/>
      <c r="K9" s="6"/>
      <c r="L9" s="6"/>
      <c r="M9" s="6"/>
      <c r="N9" s="6"/>
      <c r="O9" s="6"/>
      <c r="P9" s="6"/>
      <c r="Q9" s="6"/>
      <c r="R9" s="6"/>
      <c r="S9" s="6"/>
      <c r="T9" s="6"/>
      <c r="U9" s="6"/>
      <c r="V9" s="6"/>
      <c r="W9" s="6"/>
      <c r="X9" s="6"/>
      <c r="Y9" s="6"/>
    </row>
    <row r="10" spans="1:26" x14ac:dyDescent="0.3">
      <c r="A10" s="6"/>
      <c r="B10" s="6"/>
      <c r="C10" s="6"/>
      <c r="D10" s="6"/>
      <c r="E10" s="6"/>
      <c r="F10" s="6"/>
      <c r="G10" s="6"/>
      <c r="H10" s="6"/>
      <c r="I10" s="6"/>
      <c r="J10" s="6"/>
      <c r="K10" s="6"/>
      <c r="L10" s="6"/>
      <c r="M10" s="6"/>
      <c r="N10" s="6"/>
      <c r="O10" s="6"/>
      <c r="P10" s="6"/>
      <c r="Q10" s="6"/>
      <c r="R10" s="6"/>
      <c r="S10" s="6"/>
      <c r="T10" s="6"/>
      <c r="U10" s="6"/>
      <c r="V10" s="6"/>
      <c r="W10" s="6"/>
      <c r="X10" s="6"/>
      <c r="Y10" s="6"/>
    </row>
    <row r="11" spans="1:26" x14ac:dyDescent="0.3">
      <c r="A11" s="6"/>
      <c r="B11" s="6"/>
      <c r="C11" s="6"/>
      <c r="D11" s="6"/>
      <c r="E11" s="6"/>
      <c r="F11" s="6"/>
      <c r="G11" s="6"/>
      <c r="H11" s="6"/>
      <c r="I11" s="6"/>
      <c r="J11" s="6"/>
      <c r="K11" s="6"/>
      <c r="L11" s="6"/>
      <c r="M11" s="6"/>
      <c r="N11" s="6"/>
      <c r="O11" s="6"/>
      <c r="P11" s="6"/>
      <c r="Q11" s="6"/>
      <c r="R11" s="6"/>
      <c r="S11" s="6"/>
      <c r="T11" s="6"/>
      <c r="U11" s="6"/>
      <c r="V11" s="6"/>
      <c r="W11" s="6"/>
      <c r="X11" s="6"/>
      <c r="Y11" s="6"/>
    </row>
    <row r="12" spans="1:26" x14ac:dyDescent="0.3">
      <c r="A12" s="6"/>
      <c r="B12" s="6"/>
      <c r="C12" s="6"/>
      <c r="D12" s="6"/>
      <c r="E12" s="6"/>
      <c r="F12" s="6"/>
      <c r="G12" s="6"/>
      <c r="H12" s="6"/>
      <c r="I12" s="6"/>
      <c r="J12" s="6"/>
      <c r="K12" s="6"/>
      <c r="L12" s="6"/>
      <c r="M12" s="6"/>
      <c r="N12" s="6"/>
      <c r="O12" s="6"/>
      <c r="P12" s="6"/>
      <c r="Q12" s="6"/>
      <c r="R12" s="6"/>
      <c r="S12" s="6"/>
      <c r="T12" s="6"/>
      <c r="U12" s="6"/>
      <c r="V12" s="6"/>
      <c r="W12" s="6"/>
      <c r="X12" s="6"/>
      <c r="Y12" s="6"/>
    </row>
    <row r="13" spans="1:26" x14ac:dyDescent="0.3">
      <c r="A13" s="6"/>
      <c r="B13" s="6"/>
      <c r="C13" s="6"/>
      <c r="D13" s="6"/>
      <c r="E13" s="6"/>
      <c r="F13" s="6"/>
      <c r="G13" s="6"/>
      <c r="H13" s="6"/>
      <c r="I13" s="6"/>
      <c r="J13" s="6"/>
      <c r="K13" s="6"/>
      <c r="L13" s="6"/>
      <c r="M13" s="6"/>
      <c r="N13" s="6"/>
      <c r="O13" s="6"/>
      <c r="P13" s="6"/>
      <c r="Q13" s="6"/>
      <c r="R13" s="6"/>
      <c r="S13" s="6"/>
      <c r="T13" s="6"/>
      <c r="U13" s="6"/>
      <c r="V13" s="6"/>
      <c r="W13" s="6"/>
      <c r="X13" s="6"/>
      <c r="Y13" s="6"/>
    </row>
    <row r="14" spans="1:26" x14ac:dyDescent="0.3">
      <c r="A14" s="6"/>
      <c r="B14" s="6"/>
      <c r="C14" s="6"/>
      <c r="D14" s="6"/>
      <c r="E14" s="6"/>
      <c r="F14" s="6"/>
      <c r="G14" s="6"/>
      <c r="H14" s="6"/>
      <c r="I14" s="6"/>
      <c r="J14" s="6"/>
      <c r="K14" s="6"/>
      <c r="L14" s="6"/>
      <c r="M14" s="6"/>
      <c r="N14" s="6"/>
      <c r="O14" s="6"/>
      <c r="P14" s="6"/>
      <c r="Q14" s="6"/>
      <c r="R14" s="6"/>
      <c r="S14" s="6"/>
      <c r="T14" s="6"/>
      <c r="U14" s="6"/>
      <c r="V14" s="6"/>
      <c r="W14" s="6"/>
      <c r="X14" s="6"/>
      <c r="Y14" s="6"/>
    </row>
    <row r="15" spans="1:26" x14ac:dyDescent="0.3">
      <c r="A15" s="6"/>
      <c r="B15" s="6"/>
      <c r="C15" s="6"/>
      <c r="D15" s="6"/>
      <c r="E15" s="6"/>
      <c r="F15" s="6"/>
      <c r="G15" s="6"/>
      <c r="H15" s="6"/>
      <c r="I15" s="6"/>
      <c r="J15" s="6"/>
      <c r="K15" s="6"/>
      <c r="L15" s="6"/>
      <c r="M15" s="6"/>
      <c r="N15" s="6"/>
      <c r="O15" s="6"/>
      <c r="P15" s="6"/>
      <c r="Q15" s="6"/>
      <c r="R15" s="6"/>
      <c r="S15" s="6"/>
      <c r="T15" s="6"/>
      <c r="U15" s="6"/>
      <c r="V15" s="6"/>
      <c r="W15" s="6"/>
      <c r="X15" s="6"/>
      <c r="Y15" s="6"/>
    </row>
    <row r="16" spans="1:26" x14ac:dyDescent="0.3">
      <c r="A16" s="6"/>
      <c r="B16" s="6"/>
      <c r="C16" s="6"/>
      <c r="D16" s="6"/>
      <c r="E16" s="6"/>
      <c r="F16" s="6"/>
      <c r="G16" s="6"/>
      <c r="H16" s="6"/>
      <c r="I16" s="6"/>
      <c r="J16" s="6"/>
      <c r="K16" s="6"/>
      <c r="L16" s="6"/>
      <c r="M16" s="6"/>
      <c r="N16" s="6"/>
      <c r="O16" s="6"/>
      <c r="P16" s="6"/>
      <c r="Q16" s="6"/>
      <c r="R16" s="6"/>
      <c r="S16" s="6"/>
      <c r="T16" s="6"/>
      <c r="U16" s="6"/>
      <c r="V16" s="6"/>
      <c r="W16" s="6"/>
      <c r="X16" s="6"/>
      <c r="Y16" s="6"/>
    </row>
    <row r="17" spans="1:25" x14ac:dyDescent="0.3">
      <c r="A17" s="6"/>
      <c r="B17" s="6"/>
      <c r="C17" s="6"/>
      <c r="D17" s="6"/>
      <c r="E17" s="6"/>
      <c r="F17" s="6"/>
      <c r="G17" s="6"/>
      <c r="H17" s="6"/>
      <c r="I17" s="6"/>
      <c r="J17" s="6"/>
      <c r="K17" s="6"/>
      <c r="L17" s="6"/>
      <c r="M17" s="6"/>
      <c r="N17" s="6"/>
      <c r="O17" s="6"/>
      <c r="P17" s="6"/>
      <c r="Q17" s="6"/>
      <c r="R17" s="6"/>
      <c r="S17" s="6"/>
      <c r="T17" s="6"/>
      <c r="U17" s="6"/>
      <c r="V17" s="6"/>
      <c r="W17" s="6"/>
      <c r="X17" s="6"/>
      <c r="Y17" s="6"/>
    </row>
    <row r="18" spans="1:25" x14ac:dyDescent="0.3">
      <c r="A18" s="6"/>
      <c r="B18" s="6"/>
      <c r="C18" s="6"/>
      <c r="D18" s="6"/>
      <c r="E18" s="6"/>
      <c r="F18" s="6"/>
      <c r="G18" s="6"/>
      <c r="H18" s="6"/>
      <c r="I18" s="6"/>
      <c r="J18" s="6"/>
      <c r="K18" s="6"/>
      <c r="L18" s="6"/>
      <c r="M18" s="6"/>
      <c r="N18" s="6"/>
      <c r="O18" s="6"/>
      <c r="P18" s="6"/>
      <c r="Q18" s="6"/>
      <c r="R18" s="6"/>
      <c r="S18" s="6"/>
      <c r="T18" s="6"/>
      <c r="U18" s="6"/>
      <c r="V18" s="6"/>
      <c r="W18" s="6"/>
      <c r="X18" s="6"/>
      <c r="Y18" s="6"/>
    </row>
    <row r="19" spans="1:25" x14ac:dyDescent="0.3">
      <c r="A19" s="6"/>
      <c r="B19" s="6"/>
      <c r="C19" s="6"/>
      <c r="D19" s="6"/>
      <c r="E19" s="6"/>
      <c r="F19" s="6"/>
      <c r="G19" s="6"/>
      <c r="H19" s="6"/>
      <c r="I19" s="6"/>
      <c r="J19" s="6"/>
      <c r="K19" s="6"/>
      <c r="L19" s="6"/>
      <c r="M19" s="6"/>
      <c r="N19" s="6"/>
      <c r="O19" s="6"/>
      <c r="P19" s="6"/>
      <c r="Q19" s="6"/>
      <c r="R19" s="6"/>
      <c r="S19" s="6"/>
      <c r="T19" s="6"/>
      <c r="U19" s="6"/>
      <c r="V19" s="6"/>
      <c r="W19" s="6"/>
      <c r="X19" s="6"/>
      <c r="Y19" s="6"/>
    </row>
    <row r="20" spans="1:25" x14ac:dyDescent="0.3">
      <c r="A20" s="6"/>
      <c r="B20" s="6"/>
      <c r="C20" s="6"/>
      <c r="D20" s="6"/>
      <c r="E20" s="6"/>
      <c r="F20" s="6"/>
      <c r="G20" s="6"/>
      <c r="H20" s="6"/>
      <c r="I20" s="6"/>
      <c r="J20" s="6"/>
      <c r="K20" s="6"/>
      <c r="L20" s="6"/>
      <c r="M20" s="6"/>
      <c r="N20" s="6"/>
      <c r="O20" s="6"/>
      <c r="P20" s="6"/>
      <c r="Q20" s="6"/>
      <c r="R20" s="6"/>
      <c r="S20" s="6"/>
      <c r="T20" s="6"/>
      <c r="U20" s="6"/>
      <c r="V20" s="6"/>
      <c r="W20" s="6"/>
      <c r="X20" s="6"/>
      <c r="Y20" s="6"/>
    </row>
    <row r="21" spans="1:25" x14ac:dyDescent="0.3">
      <c r="A21" s="6"/>
      <c r="B21" s="6"/>
      <c r="C21" s="6"/>
      <c r="D21" s="6"/>
      <c r="E21" s="6"/>
      <c r="F21" s="6"/>
      <c r="G21" s="6"/>
      <c r="H21" s="6"/>
      <c r="I21" s="6"/>
      <c r="J21" s="6"/>
      <c r="K21" s="6"/>
      <c r="L21" s="6"/>
      <c r="M21" s="6"/>
      <c r="N21" s="6"/>
      <c r="O21" s="6"/>
      <c r="P21" s="6"/>
      <c r="Q21" s="6"/>
      <c r="R21" s="6"/>
      <c r="S21" s="6"/>
      <c r="T21" s="6"/>
      <c r="U21" s="6"/>
      <c r="V21" s="6"/>
      <c r="W21" s="6"/>
      <c r="X21" s="6"/>
      <c r="Y21" s="6"/>
    </row>
    <row r="22" spans="1:25" x14ac:dyDescent="0.3">
      <c r="A22" s="6"/>
      <c r="B22" s="6"/>
      <c r="C22" s="6"/>
      <c r="D22" s="6"/>
      <c r="E22" s="6"/>
      <c r="F22" s="6"/>
      <c r="G22" s="6"/>
      <c r="H22" s="6"/>
      <c r="I22" s="6"/>
      <c r="J22" s="6"/>
      <c r="K22" s="6"/>
      <c r="L22" s="6"/>
      <c r="M22" s="6"/>
      <c r="N22" s="6"/>
      <c r="O22" s="6"/>
      <c r="P22" s="6"/>
      <c r="Q22" s="6"/>
      <c r="R22" s="6"/>
      <c r="S22" s="6"/>
      <c r="T22" s="6"/>
      <c r="U22" s="6"/>
      <c r="V22" s="6"/>
      <c r="W22" s="6"/>
      <c r="X22" s="6"/>
      <c r="Y22" s="6"/>
    </row>
    <row r="23" spans="1:25" x14ac:dyDescent="0.3">
      <c r="A23" s="6"/>
      <c r="B23" s="6"/>
      <c r="C23" s="6"/>
      <c r="D23" s="6"/>
      <c r="E23" s="6"/>
      <c r="F23" s="6"/>
      <c r="G23" s="6"/>
      <c r="H23" s="6"/>
      <c r="I23" s="6"/>
      <c r="J23" s="6"/>
      <c r="K23" s="6"/>
      <c r="L23" s="6"/>
      <c r="M23" s="6"/>
      <c r="N23" s="6"/>
      <c r="O23" s="6"/>
      <c r="P23" s="6"/>
      <c r="Q23" s="6"/>
      <c r="R23" s="6"/>
      <c r="S23" s="6"/>
      <c r="T23" s="6"/>
      <c r="U23" s="6"/>
      <c r="V23" s="6"/>
      <c r="W23" s="6"/>
      <c r="X23" s="6"/>
      <c r="Y23" s="6"/>
    </row>
    <row r="24" spans="1:25" x14ac:dyDescent="0.3">
      <c r="A24" s="6"/>
      <c r="B24" s="6"/>
      <c r="C24" s="6"/>
      <c r="D24" s="6"/>
      <c r="E24" s="6"/>
      <c r="F24" s="6"/>
      <c r="G24" s="6"/>
      <c r="H24" s="6"/>
      <c r="I24" s="6"/>
      <c r="J24" s="6"/>
      <c r="K24" s="6"/>
      <c r="L24" s="6"/>
      <c r="M24" s="6"/>
      <c r="N24" s="6"/>
      <c r="O24" s="6"/>
      <c r="P24" s="6"/>
      <c r="Q24" s="6"/>
      <c r="R24" s="6"/>
      <c r="S24" s="6"/>
      <c r="T24" s="6"/>
      <c r="U24" s="6"/>
      <c r="V24" s="6"/>
      <c r="W24" s="6"/>
      <c r="X24" s="6"/>
      <c r="Y24" s="6"/>
    </row>
    <row r="25" spans="1:25" x14ac:dyDescent="0.3">
      <c r="A25" s="6"/>
      <c r="B25" s="6"/>
      <c r="C25" s="6"/>
      <c r="D25" s="6"/>
      <c r="E25" s="6"/>
      <c r="F25" s="6"/>
      <c r="G25" s="6"/>
      <c r="H25" s="6"/>
      <c r="I25" s="6"/>
      <c r="J25" s="6"/>
      <c r="K25" s="6"/>
      <c r="L25" s="6"/>
      <c r="M25" s="6"/>
      <c r="N25" s="6"/>
      <c r="O25" s="6"/>
      <c r="P25" s="6"/>
      <c r="Q25" s="6"/>
      <c r="R25" s="6"/>
      <c r="S25" s="6"/>
      <c r="T25" s="6"/>
      <c r="U25" s="6"/>
      <c r="V25" s="6"/>
      <c r="W25" s="6"/>
      <c r="X25" s="6"/>
      <c r="Y25" s="6"/>
    </row>
    <row r="26" spans="1:25" x14ac:dyDescent="0.3">
      <c r="A26" s="6"/>
      <c r="B26" s="6"/>
      <c r="C26" s="6"/>
      <c r="D26" s="6"/>
      <c r="E26" s="6"/>
      <c r="F26" s="6"/>
      <c r="G26" s="6"/>
      <c r="H26" s="6"/>
      <c r="I26" s="6"/>
      <c r="J26" s="6"/>
      <c r="K26" s="6"/>
      <c r="L26" s="6"/>
      <c r="M26" s="6"/>
      <c r="N26" s="6"/>
      <c r="O26" s="6"/>
      <c r="P26" s="6"/>
      <c r="Q26" s="6"/>
      <c r="R26" s="6"/>
      <c r="S26" s="6"/>
      <c r="T26" s="6"/>
      <c r="U26" s="6"/>
      <c r="V26" s="6"/>
      <c r="W26" s="6"/>
      <c r="X26" s="6"/>
      <c r="Y26" s="6"/>
    </row>
    <row r="27" spans="1:25" x14ac:dyDescent="0.3">
      <c r="A27" s="6"/>
      <c r="B27" s="6"/>
      <c r="C27" s="6"/>
      <c r="D27" s="6"/>
      <c r="E27" s="6"/>
      <c r="F27" s="6"/>
      <c r="G27" s="6"/>
      <c r="H27" s="6"/>
      <c r="I27" s="6"/>
      <c r="J27" s="6"/>
      <c r="K27" s="6"/>
      <c r="L27" s="6"/>
      <c r="M27" s="6"/>
      <c r="N27" s="6"/>
      <c r="O27" s="6"/>
      <c r="P27" s="6"/>
      <c r="Q27" s="6"/>
      <c r="R27" s="6"/>
      <c r="S27" s="6"/>
      <c r="T27" s="6"/>
      <c r="U27" s="6"/>
      <c r="V27" s="6"/>
      <c r="W27" s="6"/>
      <c r="X27" s="6"/>
      <c r="Y27" s="6"/>
    </row>
    <row r="28" spans="1:25" x14ac:dyDescent="0.3">
      <c r="A28" s="6"/>
      <c r="B28" s="6"/>
      <c r="C28" s="6"/>
      <c r="D28" s="6"/>
      <c r="E28" s="6"/>
      <c r="F28" s="6"/>
      <c r="G28" s="6"/>
      <c r="H28" s="6"/>
      <c r="I28" s="6"/>
      <c r="J28" s="6"/>
      <c r="K28" s="6"/>
      <c r="L28" s="6"/>
      <c r="M28" s="6"/>
      <c r="N28" s="6"/>
      <c r="O28" s="6"/>
      <c r="P28" s="6"/>
      <c r="Q28" s="6"/>
      <c r="R28" s="6"/>
      <c r="S28" s="6"/>
      <c r="T28" s="6"/>
      <c r="U28" s="6"/>
      <c r="V28" s="6"/>
      <c r="W28" s="6"/>
      <c r="X28" s="6"/>
      <c r="Y28" s="6"/>
    </row>
    <row r="29" spans="1:25" x14ac:dyDescent="0.3">
      <c r="A29" s="6"/>
      <c r="B29" s="6"/>
      <c r="C29" s="6"/>
      <c r="D29" s="6"/>
      <c r="E29" s="6"/>
      <c r="F29" s="6"/>
      <c r="G29" s="6"/>
      <c r="H29" s="6"/>
      <c r="I29" s="6"/>
      <c r="J29" s="6"/>
      <c r="K29" s="6"/>
      <c r="L29" s="6"/>
      <c r="M29" s="6"/>
      <c r="N29" s="6"/>
      <c r="O29" s="6"/>
      <c r="P29" s="6"/>
      <c r="Q29" s="6"/>
      <c r="R29" s="6"/>
      <c r="S29" s="6"/>
      <c r="T29" s="6"/>
      <c r="U29" s="6"/>
      <c r="V29" s="6"/>
      <c r="W29" s="6"/>
      <c r="X29" s="6"/>
      <c r="Y29" s="6"/>
    </row>
    <row r="30" spans="1:25" x14ac:dyDescent="0.3">
      <c r="A30" s="6"/>
      <c r="B30" s="6"/>
      <c r="C30" s="6"/>
      <c r="D30" s="6"/>
      <c r="E30" s="6"/>
      <c r="F30" s="6"/>
      <c r="G30" s="6"/>
      <c r="H30" s="6"/>
      <c r="I30" s="6"/>
      <c r="J30" s="6"/>
      <c r="K30" s="6"/>
      <c r="L30" s="6"/>
      <c r="M30" s="6"/>
      <c r="N30" s="6"/>
      <c r="O30" s="6"/>
      <c r="P30" s="6"/>
      <c r="Q30" s="6"/>
      <c r="R30" s="6"/>
      <c r="S30" s="6"/>
      <c r="T30" s="6"/>
      <c r="U30" s="6"/>
      <c r="V30" s="6"/>
      <c r="W30" s="6"/>
      <c r="X30" s="6"/>
      <c r="Y30" s="6"/>
    </row>
    <row r="31" spans="1:25" x14ac:dyDescent="0.3">
      <c r="A31" s="6"/>
      <c r="B31" s="6"/>
      <c r="C31" s="6"/>
      <c r="D31" s="6"/>
      <c r="E31" s="6"/>
      <c r="F31" s="6"/>
      <c r="G31" s="6"/>
      <c r="H31" s="6"/>
      <c r="I31" s="6"/>
      <c r="J31" s="6"/>
      <c r="K31" s="6"/>
      <c r="L31" s="6"/>
      <c r="M31" s="6"/>
      <c r="N31" s="6"/>
      <c r="O31" s="6"/>
      <c r="P31" s="6"/>
      <c r="Q31" s="6"/>
      <c r="R31" s="6"/>
      <c r="S31" s="6"/>
      <c r="T31" s="6"/>
      <c r="U31" s="6"/>
      <c r="V31" s="6"/>
      <c r="W31" s="6"/>
      <c r="X31" s="6"/>
      <c r="Y31" s="6"/>
    </row>
    <row r="32" spans="1:25" x14ac:dyDescent="0.3">
      <c r="A32" s="6"/>
      <c r="B32" s="6"/>
      <c r="C32" s="6"/>
      <c r="D32" s="6"/>
      <c r="E32" s="6"/>
      <c r="F32" s="6"/>
      <c r="G32" s="6"/>
      <c r="H32" s="6"/>
      <c r="I32" s="6"/>
      <c r="J32" s="6"/>
      <c r="K32" s="6"/>
      <c r="L32" s="6"/>
      <c r="M32" s="6"/>
      <c r="N32" s="6"/>
      <c r="O32" s="6"/>
      <c r="P32" s="6"/>
      <c r="Q32" s="6"/>
      <c r="R32" s="6"/>
      <c r="S32" s="6"/>
      <c r="T32" s="6"/>
      <c r="U32" s="6"/>
      <c r="V32" s="6"/>
      <c r="W32" s="6"/>
      <c r="X32" s="6"/>
      <c r="Y32" s="6"/>
    </row>
    <row r="33" spans="1:25" x14ac:dyDescent="0.3">
      <c r="A33" s="6"/>
      <c r="B33" s="6"/>
      <c r="C33" s="6"/>
      <c r="D33" s="6"/>
      <c r="E33" s="6"/>
      <c r="F33" s="6"/>
      <c r="G33" s="6"/>
      <c r="H33" s="6"/>
      <c r="I33" s="6"/>
      <c r="J33" s="6"/>
      <c r="K33" s="6"/>
      <c r="L33" s="6"/>
      <c r="M33" s="6"/>
      <c r="N33" s="6"/>
      <c r="O33" s="6"/>
      <c r="P33" s="6"/>
      <c r="Q33" s="6"/>
      <c r="R33" s="6"/>
      <c r="S33" s="6"/>
      <c r="T33" s="6"/>
      <c r="U33" s="6"/>
      <c r="V33" s="6"/>
      <c r="W33" s="6"/>
      <c r="X33" s="6"/>
      <c r="Y33" s="6"/>
    </row>
    <row r="34" spans="1:25" x14ac:dyDescent="0.3">
      <c r="A34" s="6"/>
      <c r="B34" s="6"/>
      <c r="C34" s="6"/>
      <c r="D34" s="6"/>
      <c r="E34" s="6"/>
      <c r="F34" s="6"/>
      <c r="G34" s="6"/>
      <c r="H34" s="6"/>
      <c r="I34" s="6"/>
      <c r="J34" s="6"/>
      <c r="K34" s="6"/>
      <c r="L34" s="6"/>
      <c r="M34" s="6"/>
      <c r="N34" s="6"/>
      <c r="O34" s="6"/>
      <c r="P34" s="6"/>
      <c r="Q34" s="6"/>
      <c r="R34" s="6"/>
      <c r="S34" s="6"/>
      <c r="T34" s="6"/>
      <c r="U34" s="6"/>
      <c r="V34" s="6"/>
      <c r="W34" s="6"/>
      <c r="X34" s="6"/>
      <c r="Y34" s="6"/>
    </row>
    <row r="35" spans="1:25" x14ac:dyDescent="0.3">
      <c r="R35" s="6"/>
      <c r="S35" s="6"/>
      <c r="T35" s="6"/>
      <c r="U35" s="6"/>
      <c r="V35" s="6"/>
      <c r="W35" s="6"/>
      <c r="X35" s="6"/>
      <c r="Y35" s="6"/>
    </row>
  </sheetData>
  <sheetProtection selectLockedCells="1"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F1ED7-B969-44F1-B72F-4C5B777F8929}">
  <dimension ref="A3:B7"/>
  <sheetViews>
    <sheetView workbookViewId="0">
      <selection activeCell="B28" sqref="B28"/>
    </sheetView>
  </sheetViews>
  <sheetFormatPr defaultRowHeight="14.4" x14ac:dyDescent="0.3"/>
  <cols>
    <col min="1" max="1" width="12.5546875" bestFit="1" customWidth="1"/>
    <col min="2" max="2" width="19.44140625" bestFit="1" customWidth="1"/>
  </cols>
  <sheetData>
    <row r="3" spans="1:2" x14ac:dyDescent="0.3">
      <c r="A3" s="2" t="s">
        <v>48</v>
      </c>
      <c r="B3" t="s">
        <v>50</v>
      </c>
    </row>
    <row r="4" spans="1:2" x14ac:dyDescent="0.3">
      <c r="A4" s="3" t="s">
        <v>39</v>
      </c>
      <c r="B4" s="9">
        <v>8.4367245657568243E-2</v>
      </c>
    </row>
    <row r="5" spans="1:2" x14ac:dyDescent="0.3">
      <c r="A5" s="3" t="s">
        <v>26</v>
      </c>
      <c r="B5" s="9">
        <v>0.6898263027295285</v>
      </c>
    </row>
    <row r="6" spans="1:2" x14ac:dyDescent="0.3">
      <c r="A6" s="3" t="s">
        <v>43</v>
      </c>
      <c r="B6" s="9">
        <v>0.22580645161290322</v>
      </c>
    </row>
    <row r="7" spans="1:2" x14ac:dyDescent="0.3">
      <c r="A7" s="3" t="s">
        <v>49</v>
      </c>
      <c r="B7" s="5">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BA178-7DEC-4283-A544-0F5AB7DD0E43}">
  <dimension ref="A1:V1201"/>
  <sheetViews>
    <sheetView topLeftCell="A2" workbookViewId="0">
      <selection activeCell="G12" sqref="A2:V1201"/>
    </sheetView>
  </sheetViews>
  <sheetFormatPr defaultRowHeight="14.4" x14ac:dyDescent="0.3"/>
  <cols>
    <col min="1" max="1" width="10.33203125" bestFit="1" customWidth="1"/>
    <col min="2" max="2" width="9" bestFit="1" customWidth="1"/>
    <col min="3" max="3" width="10.77734375" bestFit="1" customWidth="1"/>
    <col min="4" max="4" width="10.109375" bestFit="1" customWidth="1"/>
    <col min="5" max="5" width="12.77734375" bestFit="1" customWidth="1"/>
    <col min="6" max="6" width="13.6640625" bestFit="1" customWidth="1"/>
    <col min="7" max="7" width="11.6640625" bestFit="1" customWidth="1"/>
    <col min="8" max="8" width="16.33203125" bestFit="1" customWidth="1"/>
    <col min="9" max="9" width="20" bestFit="1" customWidth="1"/>
    <col min="10" max="10" width="16.21875" bestFit="1" customWidth="1"/>
    <col min="11" max="11" width="17.6640625" bestFit="1" customWidth="1"/>
    <col min="12" max="12" width="11.77734375" bestFit="1" customWidth="1"/>
    <col min="13" max="13" width="25.77734375" bestFit="1" customWidth="1"/>
    <col min="14" max="14" width="18.88671875" bestFit="1" customWidth="1"/>
    <col min="15" max="15" width="20.6640625" bestFit="1" customWidth="1"/>
    <col min="16" max="16" width="17.44140625" bestFit="1" customWidth="1"/>
    <col min="17" max="17" width="19.88671875" bestFit="1" customWidth="1"/>
    <col min="18" max="18" width="20.109375" bestFit="1" customWidth="1"/>
    <col min="19" max="19" width="14.77734375" bestFit="1" customWidth="1"/>
    <col min="20" max="20" width="21.88671875" bestFit="1" customWidth="1"/>
    <col min="21" max="21" width="16.44140625" bestFit="1" customWidth="1"/>
    <col min="22" max="22" width="16"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s="1">
        <v>43844</v>
      </c>
      <c r="B2" t="s">
        <v>22</v>
      </c>
      <c r="C2" t="s">
        <v>23</v>
      </c>
      <c r="D2" t="s">
        <v>24</v>
      </c>
      <c r="E2" t="s">
        <v>25</v>
      </c>
      <c r="F2" t="s">
        <v>26</v>
      </c>
      <c r="G2">
        <v>302</v>
      </c>
      <c r="H2">
        <v>2124</v>
      </c>
      <c r="I2">
        <v>1103.8383240000001</v>
      </c>
      <c r="J2" t="b">
        <v>1</v>
      </c>
      <c r="K2">
        <v>9</v>
      </c>
      <c r="L2" t="b">
        <v>0</v>
      </c>
      <c r="M2">
        <v>37820.0524</v>
      </c>
      <c r="N2">
        <v>2048</v>
      </c>
      <c r="O2">
        <v>5037</v>
      </c>
      <c r="P2" t="s">
        <v>27</v>
      </c>
      <c r="Q2">
        <v>0.1474609375</v>
      </c>
      <c r="R2" t="s">
        <v>28</v>
      </c>
      <c r="S2">
        <v>3.6550937880794705</v>
      </c>
      <c r="T2">
        <v>0.40659122493547745</v>
      </c>
      <c r="U2" t="s">
        <v>29</v>
      </c>
      <c r="V2">
        <v>0</v>
      </c>
    </row>
    <row r="3" spans="1:22" x14ac:dyDescent="0.3">
      <c r="A3" s="1">
        <v>44150</v>
      </c>
      <c r="B3" t="s">
        <v>30</v>
      </c>
      <c r="C3" t="s">
        <v>31</v>
      </c>
      <c r="D3" t="s">
        <v>32</v>
      </c>
      <c r="E3" t="s">
        <v>33</v>
      </c>
      <c r="F3" t="s">
        <v>26</v>
      </c>
      <c r="G3">
        <v>741</v>
      </c>
      <c r="H3">
        <v>1972</v>
      </c>
      <c r="I3">
        <v>13163.007659999999</v>
      </c>
      <c r="J3" t="b">
        <v>1</v>
      </c>
      <c r="K3">
        <v>11</v>
      </c>
      <c r="L3" t="b">
        <v>0</v>
      </c>
      <c r="M3">
        <v>54396.173690000003</v>
      </c>
      <c r="N3">
        <v>1213</v>
      </c>
      <c r="O3">
        <v>9216</v>
      </c>
      <c r="P3" t="s">
        <v>27</v>
      </c>
      <c r="Q3">
        <v>0.61088211046990937</v>
      </c>
      <c r="R3" t="s">
        <v>28</v>
      </c>
      <c r="S3">
        <v>17.763842995951418</v>
      </c>
      <c r="T3">
        <v>0.1316189236111111</v>
      </c>
      <c r="U3" t="s">
        <v>34</v>
      </c>
      <c r="V3">
        <v>0</v>
      </c>
    </row>
    <row r="4" spans="1:22" x14ac:dyDescent="0.3">
      <c r="A4" s="1">
        <v>43937</v>
      </c>
      <c r="B4" t="s">
        <v>30</v>
      </c>
      <c r="C4" t="s">
        <v>31</v>
      </c>
      <c r="D4" t="s">
        <v>35</v>
      </c>
      <c r="E4" t="s">
        <v>33</v>
      </c>
      <c r="F4" t="s">
        <v>26</v>
      </c>
      <c r="G4">
        <v>940</v>
      </c>
      <c r="H4">
        <v>454</v>
      </c>
      <c r="I4">
        <v>9872.2941260000007</v>
      </c>
      <c r="J4" t="b">
        <v>1</v>
      </c>
      <c r="K4">
        <v>17</v>
      </c>
      <c r="L4" t="b">
        <v>0</v>
      </c>
      <c r="M4">
        <v>24217.45462</v>
      </c>
      <c r="N4">
        <v>1160.5</v>
      </c>
      <c r="O4">
        <v>7699</v>
      </c>
      <c r="P4" t="s">
        <v>36</v>
      </c>
      <c r="Q4">
        <v>0.80999569151227924</v>
      </c>
      <c r="R4" t="s">
        <v>37</v>
      </c>
      <c r="S4">
        <v>10.502440559574469</v>
      </c>
      <c r="T4">
        <v>0.15073386154045981</v>
      </c>
      <c r="U4" t="s">
        <v>34</v>
      </c>
      <c r="V4">
        <v>0</v>
      </c>
    </row>
    <row r="5" spans="1:22" x14ac:dyDescent="0.3">
      <c r="A5" s="1">
        <v>43938</v>
      </c>
      <c r="B5" t="s">
        <v>38</v>
      </c>
      <c r="C5" t="s">
        <v>23</v>
      </c>
      <c r="D5" t="s">
        <v>32</v>
      </c>
      <c r="E5" t="s">
        <v>33</v>
      </c>
      <c r="F5" t="s">
        <v>39</v>
      </c>
      <c r="G5">
        <v>589</v>
      </c>
      <c r="H5">
        <v>1867</v>
      </c>
      <c r="I5">
        <v>4547.5899319999999</v>
      </c>
      <c r="J5" t="b">
        <v>1</v>
      </c>
      <c r="K5">
        <v>3</v>
      </c>
      <c r="L5" t="b">
        <v>0</v>
      </c>
      <c r="M5">
        <v>38919.080049999997</v>
      </c>
      <c r="N5">
        <v>3364.5</v>
      </c>
      <c r="O5">
        <v>9271</v>
      </c>
      <c r="P5" t="s">
        <v>36</v>
      </c>
      <c r="Q5">
        <v>0.17506315945905782</v>
      </c>
      <c r="R5" t="s">
        <v>40</v>
      </c>
      <c r="S5">
        <v>7.720865758913412</v>
      </c>
      <c r="T5">
        <v>0.36290583540071192</v>
      </c>
      <c r="U5" t="s">
        <v>34</v>
      </c>
      <c r="V5">
        <v>0</v>
      </c>
    </row>
    <row r="6" spans="1:22" x14ac:dyDescent="0.3">
      <c r="A6" s="1">
        <v>43939</v>
      </c>
      <c r="B6" t="s">
        <v>22</v>
      </c>
      <c r="C6" t="s">
        <v>23</v>
      </c>
      <c r="D6" t="s">
        <v>35</v>
      </c>
      <c r="E6" t="s">
        <v>33</v>
      </c>
      <c r="F6" t="s">
        <v>26</v>
      </c>
      <c r="G6">
        <v>964</v>
      </c>
      <c r="H6">
        <v>4862</v>
      </c>
      <c r="I6">
        <v>11994.042310000001</v>
      </c>
      <c r="J6" t="b">
        <v>1</v>
      </c>
      <c r="K6">
        <v>21</v>
      </c>
      <c r="L6" t="b">
        <v>0</v>
      </c>
      <c r="M6">
        <v>59204.506829999998</v>
      </c>
      <c r="N6">
        <v>3063</v>
      </c>
      <c r="O6">
        <v>5828</v>
      </c>
      <c r="P6" t="s">
        <v>27</v>
      </c>
      <c r="Q6">
        <v>0.31472412667319621</v>
      </c>
      <c r="R6" t="s">
        <v>37</v>
      </c>
      <c r="S6">
        <v>12.441952603734441</v>
      </c>
      <c r="T6">
        <v>0.52556623198352781</v>
      </c>
      <c r="U6" t="s">
        <v>29</v>
      </c>
      <c r="V6">
        <v>0</v>
      </c>
    </row>
    <row r="7" spans="1:22" x14ac:dyDescent="0.3">
      <c r="A7" s="1">
        <v>43940</v>
      </c>
      <c r="B7" t="s">
        <v>38</v>
      </c>
      <c r="C7" t="s">
        <v>41</v>
      </c>
      <c r="D7" t="s">
        <v>24</v>
      </c>
      <c r="E7" t="s">
        <v>25</v>
      </c>
      <c r="F7" t="s">
        <v>39</v>
      </c>
      <c r="G7">
        <v>338</v>
      </c>
      <c r="H7">
        <v>1264</v>
      </c>
      <c r="I7">
        <v>6220.9913749999996</v>
      </c>
      <c r="J7" t="b">
        <v>0</v>
      </c>
      <c r="K7">
        <v>15</v>
      </c>
      <c r="L7" t="b">
        <v>0</v>
      </c>
      <c r="M7">
        <v>55736.887439999999</v>
      </c>
      <c r="N7">
        <v>1104.5</v>
      </c>
      <c r="O7">
        <v>8292</v>
      </c>
      <c r="P7" t="s">
        <v>27</v>
      </c>
      <c r="Q7">
        <v>0.30602082390221819</v>
      </c>
      <c r="R7" t="s">
        <v>37</v>
      </c>
      <c r="S7">
        <v>18.4052999260355</v>
      </c>
      <c r="T7">
        <v>0.13320067534973468</v>
      </c>
      <c r="U7" t="s">
        <v>34</v>
      </c>
      <c r="V7">
        <v>0</v>
      </c>
    </row>
    <row r="8" spans="1:22" x14ac:dyDescent="0.3">
      <c r="A8" s="1">
        <v>43941</v>
      </c>
      <c r="B8" t="s">
        <v>42</v>
      </c>
      <c r="C8" t="s">
        <v>31</v>
      </c>
      <c r="D8" t="s">
        <v>24</v>
      </c>
      <c r="E8" t="s">
        <v>33</v>
      </c>
      <c r="F8" t="s">
        <v>43</v>
      </c>
      <c r="G8">
        <v>748</v>
      </c>
      <c r="H8">
        <v>945</v>
      </c>
      <c r="I8">
        <v>14023.27556</v>
      </c>
      <c r="J8" t="b">
        <v>1</v>
      </c>
      <c r="K8">
        <v>7</v>
      </c>
      <c r="L8" t="b">
        <v>0</v>
      </c>
      <c r="M8">
        <v>139260.8377</v>
      </c>
      <c r="N8">
        <v>929</v>
      </c>
      <c r="O8">
        <v>5073</v>
      </c>
      <c r="P8" t="s">
        <v>27</v>
      </c>
      <c r="Q8">
        <v>0.80516684607104416</v>
      </c>
      <c r="R8" t="s">
        <v>40</v>
      </c>
      <c r="S8">
        <v>18.747694598930483</v>
      </c>
      <c r="T8">
        <v>0.18312635521387738</v>
      </c>
      <c r="U8" t="s">
        <v>34</v>
      </c>
      <c r="V8">
        <v>0</v>
      </c>
    </row>
    <row r="9" spans="1:22" x14ac:dyDescent="0.3">
      <c r="A9" s="1">
        <v>43942</v>
      </c>
      <c r="B9" t="s">
        <v>22</v>
      </c>
      <c r="C9" t="s">
        <v>23</v>
      </c>
      <c r="D9" t="s">
        <v>35</v>
      </c>
      <c r="E9" t="s">
        <v>25</v>
      </c>
      <c r="F9" t="s">
        <v>39</v>
      </c>
      <c r="G9">
        <v>909</v>
      </c>
      <c r="H9">
        <v>913</v>
      </c>
      <c r="I9">
        <v>1556.2568140000001</v>
      </c>
      <c r="J9" t="b">
        <v>1</v>
      </c>
      <c r="K9">
        <v>25</v>
      </c>
      <c r="L9" t="b">
        <v>0</v>
      </c>
      <c r="M9">
        <v>35640.521769999999</v>
      </c>
      <c r="N9">
        <v>2204</v>
      </c>
      <c r="O9">
        <v>9860</v>
      </c>
      <c r="P9" t="s">
        <v>36</v>
      </c>
      <c r="Q9">
        <v>0.41243194192377497</v>
      </c>
      <c r="R9" t="s">
        <v>37</v>
      </c>
      <c r="S9">
        <v>1.7120537007700771</v>
      </c>
      <c r="T9">
        <v>0.22352941176470589</v>
      </c>
      <c r="U9" t="s">
        <v>34</v>
      </c>
      <c r="V9">
        <v>0</v>
      </c>
    </row>
    <row r="10" spans="1:22" x14ac:dyDescent="0.3">
      <c r="A10" s="1">
        <v>43943</v>
      </c>
      <c r="B10" t="s">
        <v>30</v>
      </c>
      <c r="C10" t="s">
        <v>44</v>
      </c>
      <c r="D10" t="s">
        <v>35</v>
      </c>
      <c r="E10" t="s">
        <v>45</v>
      </c>
      <c r="F10" t="s">
        <v>26</v>
      </c>
      <c r="G10">
        <v>781</v>
      </c>
      <c r="H10">
        <v>3495</v>
      </c>
      <c r="I10">
        <v>4933.4638489999998</v>
      </c>
      <c r="J10" t="b">
        <v>1</v>
      </c>
      <c r="K10">
        <v>8</v>
      </c>
      <c r="L10" t="b">
        <v>0</v>
      </c>
      <c r="M10">
        <v>73883.090710000004</v>
      </c>
      <c r="N10">
        <v>3481</v>
      </c>
      <c r="O10">
        <v>8375</v>
      </c>
      <c r="P10" t="s">
        <v>27</v>
      </c>
      <c r="Q10">
        <v>0.22436081585751222</v>
      </c>
      <c r="R10" t="s">
        <v>28</v>
      </c>
      <c r="S10">
        <v>6.3168551203585146</v>
      </c>
      <c r="T10">
        <v>0.41564179104477611</v>
      </c>
      <c r="U10" t="s">
        <v>29</v>
      </c>
      <c r="V10">
        <v>0</v>
      </c>
    </row>
    <row r="11" spans="1:22" x14ac:dyDescent="0.3">
      <c r="A11" s="1">
        <v>43944</v>
      </c>
      <c r="B11" t="s">
        <v>30</v>
      </c>
      <c r="C11" t="s">
        <v>44</v>
      </c>
      <c r="D11" t="s">
        <v>24</v>
      </c>
      <c r="E11" t="s">
        <v>25</v>
      </c>
      <c r="F11" t="s">
        <v>26</v>
      </c>
      <c r="G11">
        <v>488</v>
      </c>
      <c r="H11">
        <v>3467</v>
      </c>
      <c r="I11">
        <v>12041.4938</v>
      </c>
      <c r="J11" t="b">
        <v>1</v>
      </c>
      <c r="K11">
        <v>21</v>
      </c>
      <c r="L11" t="b">
        <v>0</v>
      </c>
      <c r="M11">
        <v>52012.689619999997</v>
      </c>
      <c r="N11">
        <v>4067.5</v>
      </c>
      <c r="O11">
        <v>8594</v>
      </c>
      <c r="P11" t="s">
        <v>36</v>
      </c>
      <c r="Q11">
        <v>0.11997541487400123</v>
      </c>
      <c r="R11" t="s">
        <v>37</v>
      </c>
      <c r="S11">
        <v>24.675192213114755</v>
      </c>
      <c r="T11">
        <v>0.47329532231789623</v>
      </c>
      <c r="U11" t="s">
        <v>29</v>
      </c>
      <c r="V11">
        <v>0</v>
      </c>
    </row>
    <row r="12" spans="1:22" x14ac:dyDescent="0.3">
      <c r="A12" s="1">
        <v>43945</v>
      </c>
      <c r="B12" t="s">
        <v>42</v>
      </c>
      <c r="C12" t="s">
        <v>44</v>
      </c>
      <c r="D12" t="s">
        <v>32</v>
      </c>
      <c r="E12" t="s">
        <v>45</v>
      </c>
      <c r="F12" t="s">
        <v>26</v>
      </c>
      <c r="G12">
        <v>125</v>
      </c>
      <c r="H12">
        <v>4668</v>
      </c>
      <c r="I12">
        <v>6126.8478770000002</v>
      </c>
      <c r="J12" t="b">
        <v>1</v>
      </c>
      <c r="K12">
        <v>21</v>
      </c>
      <c r="L12" t="b">
        <v>0</v>
      </c>
      <c r="M12">
        <v>2726.6573950000002</v>
      </c>
      <c r="N12">
        <v>3947.5</v>
      </c>
      <c r="O12">
        <v>7684</v>
      </c>
      <c r="P12" t="s">
        <v>27</v>
      </c>
      <c r="Q12">
        <v>3.1665611146295125E-2</v>
      </c>
      <c r="R12" t="s">
        <v>37</v>
      </c>
      <c r="S12">
        <v>49.014783016000003</v>
      </c>
      <c r="T12">
        <v>0.51372982821447166</v>
      </c>
      <c r="U12" t="s">
        <v>29</v>
      </c>
      <c r="V12">
        <v>0</v>
      </c>
    </row>
    <row r="13" spans="1:22" x14ac:dyDescent="0.3">
      <c r="A13" s="1">
        <v>43946</v>
      </c>
      <c r="B13" t="s">
        <v>30</v>
      </c>
      <c r="C13" t="s">
        <v>31</v>
      </c>
      <c r="D13" t="s">
        <v>24</v>
      </c>
      <c r="E13" t="s">
        <v>25</v>
      </c>
      <c r="F13" t="s">
        <v>26</v>
      </c>
      <c r="G13">
        <v>899</v>
      </c>
      <c r="H13">
        <v>3227</v>
      </c>
      <c r="I13">
        <v>12221.18843</v>
      </c>
      <c r="J13" t="b">
        <v>1</v>
      </c>
      <c r="K13">
        <v>4</v>
      </c>
      <c r="L13" t="b">
        <v>0</v>
      </c>
      <c r="M13">
        <v>127779.9529</v>
      </c>
      <c r="N13">
        <v>2414.5</v>
      </c>
      <c r="O13">
        <v>9035</v>
      </c>
      <c r="P13" t="s">
        <v>27</v>
      </c>
      <c r="Q13">
        <v>0.37233381652516051</v>
      </c>
      <c r="R13" t="s">
        <v>40</v>
      </c>
      <c r="S13">
        <v>13.594202925472748</v>
      </c>
      <c r="T13">
        <v>0.26723851687880462</v>
      </c>
      <c r="U13" t="s">
        <v>34</v>
      </c>
      <c r="V13">
        <v>0</v>
      </c>
    </row>
    <row r="14" spans="1:22" x14ac:dyDescent="0.3">
      <c r="A14" s="1">
        <v>43947</v>
      </c>
      <c r="B14" t="s">
        <v>22</v>
      </c>
      <c r="C14" t="s">
        <v>23</v>
      </c>
      <c r="D14" t="s">
        <v>32</v>
      </c>
      <c r="E14" t="s">
        <v>25</v>
      </c>
      <c r="F14" t="s">
        <v>26</v>
      </c>
      <c r="G14">
        <v>324</v>
      </c>
      <c r="H14">
        <v>1602</v>
      </c>
      <c r="I14">
        <v>5705.5111370000004</v>
      </c>
      <c r="J14" t="b">
        <v>1</v>
      </c>
      <c r="K14">
        <v>27</v>
      </c>
      <c r="L14" t="b">
        <v>0</v>
      </c>
      <c r="M14">
        <v>63107.389810000001</v>
      </c>
      <c r="N14">
        <v>1005.5</v>
      </c>
      <c r="O14">
        <v>8116</v>
      </c>
      <c r="P14" t="s">
        <v>27</v>
      </c>
      <c r="Q14">
        <v>0.32222774738935855</v>
      </c>
      <c r="R14" t="s">
        <v>37</v>
      </c>
      <c r="S14">
        <v>17.609602274691358</v>
      </c>
      <c r="T14">
        <v>0.12389107934943322</v>
      </c>
      <c r="U14" t="s">
        <v>34</v>
      </c>
      <c r="V14">
        <v>0</v>
      </c>
    </row>
    <row r="15" spans="1:22" x14ac:dyDescent="0.3">
      <c r="A15" s="1">
        <v>43948</v>
      </c>
      <c r="B15" t="s">
        <v>42</v>
      </c>
      <c r="C15" t="s">
        <v>44</v>
      </c>
      <c r="D15" t="s">
        <v>24</v>
      </c>
      <c r="E15" t="s">
        <v>45</v>
      </c>
      <c r="F15" t="s">
        <v>26</v>
      </c>
      <c r="G15">
        <v>551</v>
      </c>
      <c r="H15">
        <v>409</v>
      </c>
      <c r="I15">
        <v>8615.9028209999997</v>
      </c>
      <c r="J15" t="b">
        <v>1</v>
      </c>
      <c r="K15">
        <v>9</v>
      </c>
      <c r="L15" t="b">
        <v>0</v>
      </c>
      <c r="M15">
        <v>57150.958559999999</v>
      </c>
      <c r="N15">
        <v>598</v>
      </c>
      <c r="O15">
        <v>6886</v>
      </c>
      <c r="P15" t="s">
        <v>36</v>
      </c>
      <c r="Q15">
        <v>0.92140468227424754</v>
      </c>
      <c r="R15" t="s">
        <v>28</v>
      </c>
      <c r="S15">
        <v>15.636847225045372</v>
      </c>
      <c r="T15">
        <v>8.6842869590473423E-2</v>
      </c>
      <c r="U15" t="s">
        <v>34</v>
      </c>
      <c r="V15">
        <v>0</v>
      </c>
    </row>
    <row r="16" spans="1:22" x14ac:dyDescent="0.3">
      <c r="A16" s="1">
        <v>43949</v>
      </c>
      <c r="B16" t="s">
        <v>42</v>
      </c>
      <c r="C16" t="s">
        <v>44</v>
      </c>
      <c r="D16" t="s">
        <v>35</v>
      </c>
      <c r="E16" t="s">
        <v>45</v>
      </c>
      <c r="F16" t="s">
        <v>26</v>
      </c>
      <c r="G16">
        <v>489</v>
      </c>
      <c r="H16">
        <v>787</v>
      </c>
      <c r="I16">
        <v>11076.524009999999</v>
      </c>
      <c r="J16" t="b">
        <v>1</v>
      </c>
      <c r="K16">
        <v>8</v>
      </c>
      <c r="L16" t="b">
        <v>0</v>
      </c>
      <c r="M16">
        <v>66378.002519999995</v>
      </c>
      <c r="N16">
        <v>1039</v>
      </c>
      <c r="O16">
        <v>9727</v>
      </c>
      <c r="P16" t="s">
        <v>36</v>
      </c>
      <c r="Q16">
        <v>0.47064485081809432</v>
      </c>
      <c r="R16" t="s">
        <v>28</v>
      </c>
      <c r="S16">
        <v>22.651378343558282</v>
      </c>
      <c r="T16">
        <v>0.10681607895548473</v>
      </c>
      <c r="U16" t="s">
        <v>34</v>
      </c>
      <c r="V16">
        <v>0</v>
      </c>
    </row>
    <row r="17" spans="1:22" x14ac:dyDescent="0.3">
      <c r="A17" s="1">
        <v>43950</v>
      </c>
      <c r="B17" t="s">
        <v>42</v>
      </c>
      <c r="C17" t="s">
        <v>41</v>
      </c>
      <c r="D17" t="s">
        <v>24</v>
      </c>
      <c r="E17" t="s">
        <v>33</v>
      </c>
      <c r="F17" t="s">
        <v>43</v>
      </c>
      <c r="G17">
        <v>712</v>
      </c>
      <c r="H17">
        <v>1291</v>
      </c>
      <c r="I17">
        <v>1450.896553</v>
      </c>
      <c r="J17" t="b">
        <v>1</v>
      </c>
      <c r="K17">
        <v>16</v>
      </c>
      <c r="L17" t="b">
        <v>1</v>
      </c>
      <c r="M17">
        <v>24683.75549</v>
      </c>
      <c r="N17">
        <v>1881</v>
      </c>
      <c r="O17">
        <v>5119</v>
      </c>
      <c r="P17" t="s">
        <v>36</v>
      </c>
      <c r="Q17">
        <v>0.37852206273258904</v>
      </c>
      <c r="R17" t="s">
        <v>37</v>
      </c>
      <c r="S17">
        <v>2.0377760575842698</v>
      </c>
      <c r="T17">
        <v>0.36745458097284628</v>
      </c>
      <c r="U17" t="s">
        <v>34</v>
      </c>
      <c r="V17">
        <v>1</v>
      </c>
    </row>
    <row r="18" spans="1:22" x14ac:dyDescent="0.3">
      <c r="A18" s="1">
        <v>43951</v>
      </c>
      <c r="B18" t="s">
        <v>42</v>
      </c>
      <c r="C18" t="s">
        <v>44</v>
      </c>
      <c r="D18" t="s">
        <v>32</v>
      </c>
      <c r="E18" t="s">
        <v>33</v>
      </c>
      <c r="F18" t="s">
        <v>26</v>
      </c>
      <c r="G18">
        <v>775</v>
      </c>
      <c r="H18">
        <v>2471</v>
      </c>
      <c r="I18">
        <v>2671.7684089999998</v>
      </c>
      <c r="J18" t="b">
        <v>1</v>
      </c>
      <c r="K18">
        <v>10</v>
      </c>
      <c r="L18" t="b">
        <v>0</v>
      </c>
      <c r="M18">
        <v>23900.740839999999</v>
      </c>
      <c r="N18">
        <v>3462.5</v>
      </c>
      <c r="O18">
        <v>8953</v>
      </c>
      <c r="P18" t="s">
        <v>36</v>
      </c>
      <c r="Q18">
        <v>0.22382671480144403</v>
      </c>
      <c r="R18" t="s">
        <v>28</v>
      </c>
      <c r="S18">
        <v>3.4474431083870964</v>
      </c>
      <c r="T18">
        <v>0.38674187423210099</v>
      </c>
      <c r="U18" t="s">
        <v>34</v>
      </c>
      <c r="V18">
        <v>0</v>
      </c>
    </row>
    <row r="19" spans="1:22" x14ac:dyDescent="0.3">
      <c r="A19" s="1">
        <v>43952</v>
      </c>
      <c r="B19" t="s">
        <v>42</v>
      </c>
      <c r="C19" t="s">
        <v>44</v>
      </c>
      <c r="D19" t="s">
        <v>32</v>
      </c>
      <c r="E19" t="s">
        <v>33</v>
      </c>
      <c r="F19" t="s">
        <v>26</v>
      </c>
      <c r="G19">
        <v>936</v>
      </c>
      <c r="H19">
        <v>4454</v>
      </c>
      <c r="I19">
        <v>8057.0190110000003</v>
      </c>
      <c r="J19" t="b">
        <v>1</v>
      </c>
      <c r="K19">
        <v>26</v>
      </c>
      <c r="L19" t="b">
        <v>1</v>
      </c>
      <c r="M19">
        <v>108960.37850000001</v>
      </c>
      <c r="N19">
        <v>2754</v>
      </c>
      <c r="O19">
        <v>7941</v>
      </c>
      <c r="P19" t="s">
        <v>27</v>
      </c>
      <c r="Q19">
        <v>0.33986928104575165</v>
      </c>
      <c r="R19" t="s">
        <v>37</v>
      </c>
      <c r="S19">
        <v>8.6079262938034198</v>
      </c>
      <c r="T19">
        <v>0.34680770683792972</v>
      </c>
      <c r="U19" t="s">
        <v>34</v>
      </c>
      <c r="V19">
        <v>1</v>
      </c>
    </row>
    <row r="20" spans="1:22" x14ac:dyDescent="0.3">
      <c r="A20" s="1">
        <v>43953</v>
      </c>
      <c r="B20" t="s">
        <v>42</v>
      </c>
      <c r="C20" t="s">
        <v>41</v>
      </c>
      <c r="D20" t="s">
        <v>24</v>
      </c>
      <c r="E20" t="s">
        <v>33</v>
      </c>
      <c r="F20" t="s">
        <v>26</v>
      </c>
      <c r="G20">
        <v>988</v>
      </c>
      <c r="H20">
        <v>1054</v>
      </c>
      <c r="I20">
        <v>8990.6387560000003</v>
      </c>
      <c r="J20" t="b">
        <v>1</v>
      </c>
      <c r="K20">
        <v>7</v>
      </c>
      <c r="L20" t="b">
        <v>0</v>
      </c>
      <c r="M20">
        <v>130014.80530000001</v>
      </c>
      <c r="N20">
        <v>652.5</v>
      </c>
      <c r="O20">
        <v>8128</v>
      </c>
      <c r="P20" t="s">
        <v>27</v>
      </c>
      <c r="Q20">
        <v>1.5141762452107279</v>
      </c>
      <c r="R20" t="s">
        <v>40</v>
      </c>
      <c r="S20">
        <v>9.0998367975708501</v>
      </c>
      <c r="T20">
        <v>8.0278051181102358E-2</v>
      </c>
      <c r="U20" t="s">
        <v>34</v>
      </c>
      <c r="V20">
        <v>0</v>
      </c>
    </row>
    <row r="21" spans="1:22" x14ac:dyDescent="0.3">
      <c r="A21" s="1">
        <v>43954</v>
      </c>
      <c r="B21" t="s">
        <v>38</v>
      </c>
      <c r="C21" t="s">
        <v>44</v>
      </c>
      <c r="D21" t="s">
        <v>35</v>
      </c>
      <c r="E21" t="s">
        <v>45</v>
      </c>
      <c r="F21" t="s">
        <v>39</v>
      </c>
      <c r="G21">
        <v>612</v>
      </c>
      <c r="H21">
        <v>251</v>
      </c>
      <c r="I21">
        <v>6719.3249130000004</v>
      </c>
      <c r="J21" t="b">
        <v>1</v>
      </c>
      <c r="K21">
        <v>6</v>
      </c>
      <c r="L21" t="b">
        <v>0</v>
      </c>
      <c r="M21">
        <v>40211.047780000001</v>
      </c>
      <c r="N21">
        <v>1969</v>
      </c>
      <c r="O21">
        <v>9397</v>
      </c>
      <c r="P21" t="s">
        <v>36</v>
      </c>
      <c r="Q21">
        <v>0.31081767394616555</v>
      </c>
      <c r="R21" t="s">
        <v>40</v>
      </c>
      <c r="S21">
        <v>10.979289073529412</v>
      </c>
      <c r="T21">
        <v>0.20953495796530808</v>
      </c>
      <c r="U21" t="s">
        <v>34</v>
      </c>
      <c r="V21">
        <v>0</v>
      </c>
    </row>
    <row r="22" spans="1:22" x14ac:dyDescent="0.3">
      <c r="A22" s="1">
        <v>43955</v>
      </c>
      <c r="B22" t="s">
        <v>30</v>
      </c>
      <c r="C22" t="s">
        <v>23</v>
      </c>
      <c r="D22" t="s">
        <v>24</v>
      </c>
      <c r="E22" t="s">
        <v>45</v>
      </c>
      <c r="F22" t="s">
        <v>26</v>
      </c>
      <c r="G22">
        <v>754</v>
      </c>
      <c r="H22">
        <v>3687</v>
      </c>
      <c r="I22">
        <v>6426.7845610000004</v>
      </c>
      <c r="J22" t="b">
        <v>1</v>
      </c>
      <c r="K22">
        <v>5</v>
      </c>
      <c r="L22" t="b">
        <v>0</v>
      </c>
      <c r="M22">
        <v>54971.192779999998</v>
      </c>
      <c r="N22">
        <v>3672</v>
      </c>
      <c r="O22">
        <v>8356</v>
      </c>
      <c r="P22" t="s">
        <v>27</v>
      </c>
      <c r="Q22">
        <v>0.20533769063180829</v>
      </c>
      <c r="R22" t="s">
        <v>40</v>
      </c>
      <c r="S22">
        <v>8.523586950928383</v>
      </c>
      <c r="T22">
        <v>0.43944471038774535</v>
      </c>
      <c r="U22" t="s">
        <v>29</v>
      </c>
      <c r="V22">
        <v>0</v>
      </c>
    </row>
    <row r="23" spans="1:22" x14ac:dyDescent="0.3">
      <c r="A23" s="1">
        <v>43956</v>
      </c>
      <c r="B23" t="s">
        <v>30</v>
      </c>
      <c r="C23" t="s">
        <v>41</v>
      </c>
      <c r="D23" t="s">
        <v>32</v>
      </c>
      <c r="E23" t="s">
        <v>33</v>
      </c>
      <c r="F23" t="s">
        <v>26</v>
      </c>
      <c r="G23">
        <v>282</v>
      </c>
      <c r="H23">
        <v>3657</v>
      </c>
      <c r="I23">
        <v>6851.3160470000003</v>
      </c>
      <c r="J23" t="b">
        <v>1</v>
      </c>
      <c r="K23">
        <v>21</v>
      </c>
      <c r="L23" t="b">
        <v>0</v>
      </c>
      <c r="M23">
        <v>46598.210899999998</v>
      </c>
      <c r="N23">
        <v>3170</v>
      </c>
      <c r="O23">
        <v>6195</v>
      </c>
      <c r="P23" t="s">
        <v>27</v>
      </c>
      <c r="Q23">
        <v>8.8958990536277607E-2</v>
      </c>
      <c r="R23" t="s">
        <v>37</v>
      </c>
      <c r="S23">
        <v>24.295446975177306</v>
      </c>
      <c r="T23">
        <v>0.51170298627925748</v>
      </c>
      <c r="U23" t="s">
        <v>29</v>
      </c>
      <c r="V23">
        <v>0</v>
      </c>
    </row>
    <row r="24" spans="1:22" x14ac:dyDescent="0.3">
      <c r="A24" s="1">
        <v>43957</v>
      </c>
      <c r="B24" t="s">
        <v>42</v>
      </c>
      <c r="C24" t="s">
        <v>23</v>
      </c>
      <c r="D24" t="s">
        <v>35</v>
      </c>
      <c r="E24" t="s">
        <v>45</v>
      </c>
      <c r="F24" t="s">
        <v>26</v>
      </c>
      <c r="G24">
        <v>777</v>
      </c>
      <c r="H24">
        <v>2683</v>
      </c>
      <c r="I24">
        <v>3371.0439390000001</v>
      </c>
      <c r="J24" t="b">
        <v>1</v>
      </c>
      <c r="K24">
        <v>23</v>
      </c>
      <c r="L24" t="b">
        <v>0</v>
      </c>
      <c r="M24">
        <v>76184.13983</v>
      </c>
      <c r="N24">
        <v>3577.5</v>
      </c>
      <c r="O24">
        <v>9094</v>
      </c>
      <c r="P24" t="s">
        <v>36</v>
      </c>
      <c r="Q24">
        <v>0.21719077568134171</v>
      </c>
      <c r="R24" t="s">
        <v>37</v>
      </c>
      <c r="S24">
        <v>4.3385378880308885</v>
      </c>
      <c r="T24">
        <v>0.39339124697602817</v>
      </c>
      <c r="U24" t="s">
        <v>34</v>
      </c>
      <c r="V24">
        <v>0</v>
      </c>
    </row>
    <row r="25" spans="1:22" x14ac:dyDescent="0.3">
      <c r="A25" s="1">
        <v>43958</v>
      </c>
      <c r="B25" t="s">
        <v>30</v>
      </c>
      <c r="C25" t="s">
        <v>31</v>
      </c>
      <c r="D25" t="s">
        <v>32</v>
      </c>
      <c r="E25" t="s">
        <v>45</v>
      </c>
      <c r="F25" t="s">
        <v>26</v>
      </c>
      <c r="G25">
        <v>477</v>
      </c>
      <c r="H25">
        <v>4472</v>
      </c>
      <c r="I25">
        <v>6748.6493799999998</v>
      </c>
      <c r="J25" t="b">
        <v>1</v>
      </c>
      <c r="K25">
        <v>12</v>
      </c>
      <c r="L25" t="b">
        <v>0</v>
      </c>
      <c r="M25">
        <v>24996.34935</v>
      </c>
      <c r="N25">
        <v>3671</v>
      </c>
      <c r="O25">
        <v>6178</v>
      </c>
      <c r="P25" t="s">
        <v>27</v>
      </c>
      <c r="Q25">
        <v>0.12993734677199673</v>
      </c>
      <c r="R25" t="s">
        <v>28</v>
      </c>
      <c r="S25">
        <v>14.148111907756814</v>
      </c>
      <c r="T25">
        <v>0.59420524441566847</v>
      </c>
      <c r="U25" t="s">
        <v>29</v>
      </c>
      <c r="V25">
        <v>0</v>
      </c>
    </row>
    <row r="26" spans="1:22" x14ac:dyDescent="0.3">
      <c r="A26" s="1">
        <v>43959</v>
      </c>
      <c r="B26" t="s">
        <v>30</v>
      </c>
      <c r="C26" t="s">
        <v>23</v>
      </c>
      <c r="D26" t="s">
        <v>24</v>
      </c>
      <c r="E26" t="s">
        <v>25</v>
      </c>
      <c r="F26" t="s">
        <v>43</v>
      </c>
      <c r="G26">
        <v>606</v>
      </c>
      <c r="H26">
        <v>2870</v>
      </c>
      <c r="I26">
        <v>13437.449780000001</v>
      </c>
      <c r="J26" t="b">
        <v>0</v>
      </c>
      <c r="K26">
        <v>19</v>
      </c>
      <c r="L26" t="b">
        <v>0</v>
      </c>
      <c r="M26">
        <v>28876.71182</v>
      </c>
      <c r="N26">
        <v>3891</v>
      </c>
      <c r="O26">
        <v>8399</v>
      </c>
      <c r="P26" t="s">
        <v>36</v>
      </c>
      <c r="Q26">
        <v>0.15574402467232074</v>
      </c>
      <c r="R26" t="s">
        <v>37</v>
      </c>
      <c r="S26">
        <v>22.174009537953797</v>
      </c>
      <c r="T26">
        <v>0.46326943683771876</v>
      </c>
      <c r="U26" t="s">
        <v>29</v>
      </c>
      <c r="V26">
        <v>0</v>
      </c>
    </row>
    <row r="27" spans="1:22" x14ac:dyDescent="0.3">
      <c r="A27" s="1">
        <v>43960</v>
      </c>
      <c r="B27" t="s">
        <v>22</v>
      </c>
      <c r="C27" t="s">
        <v>44</v>
      </c>
      <c r="D27" t="s">
        <v>35</v>
      </c>
      <c r="E27" t="s">
        <v>45</v>
      </c>
      <c r="F27" t="s">
        <v>43</v>
      </c>
      <c r="G27">
        <v>423</v>
      </c>
      <c r="H27">
        <v>4912</v>
      </c>
      <c r="I27">
        <v>3248.5548739999999</v>
      </c>
      <c r="J27" t="b">
        <v>1</v>
      </c>
      <c r="K27">
        <v>13</v>
      </c>
      <c r="L27" t="b">
        <v>0</v>
      </c>
      <c r="M27">
        <v>79226.47623</v>
      </c>
      <c r="N27">
        <v>4494</v>
      </c>
      <c r="O27">
        <v>5993</v>
      </c>
      <c r="P27" t="s">
        <v>27</v>
      </c>
      <c r="Q27">
        <v>9.4125500667556747E-2</v>
      </c>
      <c r="R27" t="s">
        <v>28</v>
      </c>
      <c r="S27">
        <v>7.6797987565011816</v>
      </c>
      <c r="T27">
        <v>0.74987485399632903</v>
      </c>
      <c r="U27" t="s">
        <v>29</v>
      </c>
      <c r="V27">
        <v>0</v>
      </c>
    </row>
    <row r="28" spans="1:22" x14ac:dyDescent="0.3">
      <c r="A28" s="1">
        <v>43961</v>
      </c>
      <c r="B28" t="s">
        <v>30</v>
      </c>
      <c r="C28" t="s">
        <v>23</v>
      </c>
      <c r="D28" t="s">
        <v>24</v>
      </c>
      <c r="E28" t="s">
        <v>33</v>
      </c>
      <c r="F28" t="s">
        <v>26</v>
      </c>
      <c r="G28">
        <v>63</v>
      </c>
      <c r="H28">
        <v>4076</v>
      </c>
      <c r="I28">
        <v>11003.60216</v>
      </c>
      <c r="J28" t="b">
        <v>1</v>
      </c>
      <c r="K28">
        <v>5</v>
      </c>
      <c r="L28" t="b">
        <v>0</v>
      </c>
      <c r="M28">
        <v>8603.6205769999997</v>
      </c>
      <c r="N28">
        <v>3084.5</v>
      </c>
      <c r="O28">
        <v>6145</v>
      </c>
      <c r="P28" t="s">
        <v>27</v>
      </c>
      <c r="Q28">
        <v>2.0424704165991247E-2</v>
      </c>
      <c r="R28" t="s">
        <v>40</v>
      </c>
      <c r="S28">
        <v>174.66035174603175</v>
      </c>
      <c r="T28">
        <v>0.50195280716029289</v>
      </c>
      <c r="U28" t="s">
        <v>29</v>
      </c>
      <c r="V28">
        <v>0</v>
      </c>
    </row>
    <row r="29" spans="1:22" x14ac:dyDescent="0.3">
      <c r="A29" s="1">
        <v>43962</v>
      </c>
      <c r="B29" t="s">
        <v>30</v>
      </c>
      <c r="C29" t="s">
        <v>23</v>
      </c>
      <c r="D29" t="s">
        <v>32</v>
      </c>
      <c r="E29" t="s">
        <v>33</v>
      </c>
      <c r="F29" t="s">
        <v>26</v>
      </c>
      <c r="G29">
        <v>799</v>
      </c>
      <c r="H29">
        <v>2093</v>
      </c>
      <c r="I29">
        <v>4314.6604340000004</v>
      </c>
      <c r="J29" t="b">
        <v>1</v>
      </c>
      <c r="K29">
        <v>15</v>
      </c>
      <c r="L29" t="b">
        <v>0</v>
      </c>
      <c r="M29">
        <v>39045.022499999999</v>
      </c>
      <c r="N29">
        <v>1258.5</v>
      </c>
      <c r="O29">
        <v>5460</v>
      </c>
      <c r="P29" t="s">
        <v>27</v>
      </c>
      <c r="Q29">
        <v>0.6348827969805324</v>
      </c>
      <c r="R29" t="s">
        <v>37</v>
      </c>
      <c r="S29">
        <v>5.4000756370463083</v>
      </c>
      <c r="T29">
        <v>0.23049450549450551</v>
      </c>
      <c r="U29" t="s">
        <v>34</v>
      </c>
      <c r="V29">
        <v>0</v>
      </c>
    </row>
    <row r="30" spans="1:22" x14ac:dyDescent="0.3">
      <c r="A30" s="1">
        <v>43963</v>
      </c>
      <c r="B30" t="s">
        <v>30</v>
      </c>
      <c r="C30" t="s">
        <v>23</v>
      </c>
      <c r="D30" t="s">
        <v>46</v>
      </c>
      <c r="E30" t="s">
        <v>45</v>
      </c>
      <c r="F30" t="s">
        <v>26</v>
      </c>
      <c r="G30">
        <v>587</v>
      </c>
      <c r="H30">
        <v>424</v>
      </c>
      <c r="I30">
        <v>7714.1750819999997</v>
      </c>
      <c r="J30" t="b">
        <v>1</v>
      </c>
      <c r="K30">
        <v>20</v>
      </c>
      <c r="L30" t="b">
        <v>0</v>
      </c>
      <c r="M30">
        <v>43435.243139999999</v>
      </c>
      <c r="N30">
        <v>1866.5</v>
      </c>
      <c r="O30">
        <v>9462</v>
      </c>
      <c r="P30" t="s">
        <v>36</v>
      </c>
      <c r="Q30">
        <v>0.31449236538976694</v>
      </c>
      <c r="R30" t="s">
        <v>37</v>
      </c>
      <c r="S30">
        <v>13.141695199318569</v>
      </c>
      <c r="T30">
        <v>0.19726273515113085</v>
      </c>
      <c r="U30" t="s">
        <v>34</v>
      </c>
      <c r="V30">
        <v>0</v>
      </c>
    </row>
    <row r="31" spans="1:22" x14ac:dyDescent="0.3">
      <c r="A31" s="1">
        <v>43964</v>
      </c>
      <c r="B31" t="s">
        <v>42</v>
      </c>
      <c r="C31" t="s">
        <v>23</v>
      </c>
      <c r="D31" t="s">
        <v>35</v>
      </c>
      <c r="E31" t="s">
        <v>25</v>
      </c>
      <c r="F31" t="s">
        <v>43</v>
      </c>
      <c r="G31">
        <v>358</v>
      </c>
      <c r="H31">
        <v>3309</v>
      </c>
      <c r="I31">
        <v>1812.1965110000001</v>
      </c>
      <c r="J31" t="b">
        <v>1</v>
      </c>
      <c r="K31">
        <v>3</v>
      </c>
      <c r="L31" t="b">
        <v>0</v>
      </c>
      <c r="M31">
        <v>39042.156519999997</v>
      </c>
      <c r="N31">
        <v>3242</v>
      </c>
      <c r="O31">
        <v>8444</v>
      </c>
      <c r="P31" t="s">
        <v>27</v>
      </c>
      <c r="Q31">
        <v>0.11042566317088218</v>
      </c>
      <c r="R31" t="s">
        <v>40</v>
      </c>
      <c r="S31">
        <v>5.0620014273743017</v>
      </c>
      <c r="T31">
        <v>0.38394126006631929</v>
      </c>
      <c r="U31" t="s">
        <v>34</v>
      </c>
      <c r="V31">
        <v>0</v>
      </c>
    </row>
    <row r="32" spans="1:22" x14ac:dyDescent="0.3">
      <c r="A32" s="1">
        <v>43965</v>
      </c>
      <c r="B32" t="s">
        <v>30</v>
      </c>
      <c r="C32" t="s">
        <v>44</v>
      </c>
      <c r="D32" t="s">
        <v>32</v>
      </c>
      <c r="E32" t="s">
        <v>33</v>
      </c>
      <c r="F32" t="s">
        <v>26</v>
      </c>
      <c r="G32">
        <v>84</v>
      </c>
      <c r="H32">
        <v>3175</v>
      </c>
      <c r="I32">
        <v>10612.99351</v>
      </c>
      <c r="J32" t="b">
        <v>1</v>
      </c>
      <c r="K32">
        <v>18</v>
      </c>
      <c r="L32" t="b">
        <v>0</v>
      </c>
      <c r="M32">
        <v>13657.59734</v>
      </c>
      <c r="N32">
        <v>3590</v>
      </c>
      <c r="O32">
        <v>8508</v>
      </c>
      <c r="P32" t="s">
        <v>36</v>
      </c>
      <c r="Q32">
        <v>2.3398328690807799E-2</v>
      </c>
      <c r="R32" t="s">
        <v>37</v>
      </c>
      <c r="S32">
        <v>126.34516083333334</v>
      </c>
      <c r="T32">
        <v>0.421955806299953</v>
      </c>
      <c r="U32" t="s">
        <v>29</v>
      </c>
      <c r="V32">
        <v>0</v>
      </c>
    </row>
    <row r="33" spans="1:22" x14ac:dyDescent="0.3">
      <c r="A33" s="1">
        <v>43966</v>
      </c>
      <c r="B33" t="s">
        <v>30</v>
      </c>
      <c r="C33" t="s">
        <v>41</v>
      </c>
      <c r="D33" t="s">
        <v>46</v>
      </c>
      <c r="E33" t="s">
        <v>33</v>
      </c>
      <c r="F33" t="s">
        <v>26</v>
      </c>
      <c r="G33">
        <v>196</v>
      </c>
      <c r="H33">
        <v>4005</v>
      </c>
      <c r="I33">
        <v>9228.7296179999994</v>
      </c>
      <c r="J33" t="b">
        <v>1</v>
      </c>
      <c r="K33">
        <v>21</v>
      </c>
      <c r="L33" t="b">
        <v>0</v>
      </c>
      <c r="M33">
        <v>22907.497429999999</v>
      </c>
      <c r="N33">
        <v>2698.5</v>
      </c>
      <c r="O33">
        <v>5616</v>
      </c>
      <c r="P33" t="s">
        <v>27</v>
      </c>
      <c r="Q33">
        <v>7.2632944228274973E-2</v>
      </c>
      <c r="R33" t="s">
        <v>37</v>
      </c>
      <c r="S33">
        <v>47.085355193877547</v>
      </c>
      <c r="T33">
        <v>0.48050213675213677</v>
      </c>
      <c r="U33" t="s">
        <v>29</v>
      </c>
      <c r="V33">
        <v>0</v>
      </c>
    </row>
    <row r="34" spans="1:22" x14ac:dyDescent="0.3">
      <c r="A34" s="1">
        <v>43967</v>
      </c>
      <c r="B34" t="s">
        <v>38</v>
      </c>
      <c r="C34" t="s">
        <v>41</v>
      </c>
      <c r="D34" t="s">
        <v>35</v>
      </c>
      <c r="E34" t="s">
        <v>33</v>
      </c>
      <c r="F34" t="s">
        <v>43</v>
      </c>
      <c r="G34">
        <v>764</v>
      </c>
      <c r="H34">
        <v>1392</v>
      </c>
      <c r="I34">
        <v>3787.6462900000001</v>
      </c>
      <c r="J34" t="b">
        <v>1</v>
      </c>
      <c r="K34">
        <v>25</v>
      </c>
      <c r="L34" t="b">
        <v>0</v>
      </c>
      <c r="M34">
        <v>107139.6553</v>
      </c>
      <c r="N34">
        <v>3122</v>
      </c>
      <c r="O34">
        <v>6653</v>
      </c>
      <c r="P34" t="s">
        <v>36</v>
      </c>
      <c r="Q34">
        <v>0.24471492632927611</v>
      </c>
      <c r="R34" t="s">
        <v>37</v>
      </c>
      <c r="S34">
        <v>4.9576522120418849</v>
      </c>
      <c r="T34">
        <v>0.4692619870735007</v>
      </c>
      <c r="U34" t="s">
        <v>29</v>
      </c>
      <c r="V34">
        <v>0</v>
      </c>
    </row>
    <row r="35" spans="1:22" x14ac:dyDescent="0.3">
      <c r="A35" s="1">
        <v>43968</v>
      </c>
      <c r="B35" t="s">
        <v>22</v>
      </c>
      <c r="C35" t="s">
        <v>44</v>
      </c>
      <c r="D35" t="s">
        <v>35</v>
      </c>
      <c r="E35" t="s">
        <v>33</v>
      </c>
      <c r="F35" t="s">
        <v>39</v>
      </c>
      <c r="G35">
        <v>488</v>
      </c>
      <c r="H35">
        <v>4852</v>
      </c>
      <c r="I35">
        <v>10326.38235</v>
      </c>
      <c r="J35" t="b">
        <v>1</v>
      </c>
      <c r="K35">
        <v>29</v>
      </c>
      <c r="L35" t="b">
        <v>0</v>
      </c>
      <c r="M35">
        <v>80063.679820000005</v>
      </c>
      <c r="N35">
        <v>2819.5</v>
      </c>
      <c r="O35">
        <v>5258</v>
      </c>
      <c r="P35" t="s">
        <v>27</v>
      </c>
      <c r="Q35">
        <v>0.17308033339244547</v>
      </c>
      <c r="R35" t="s">
        <v>37</v>
      </c>
      <c r="S35">
        <v>21.160619569672132</v>
      </c>
      <c r="T35">
        <v>0.53623050589577781</v>
      </c>
      <c r="U35" t="s">
        <v>29</v>
      </c>
      <c r="V35">
        <v>0</v>
      </c>
    </row>
    <row r="36" spans="1:22" x14ac:dyDescent="0.3">
      <c r="A36" s="1">
        <v>43969</v>
      </c>
      <c r="B36" t="s">
        <v>38</v>
      </c>
      <c r="C36" t="s">
        <v>31</v>
      </c>
      <c r="D36" t="s">
        <v>32</v>
      </c>
      <c r="E36" t="s">
        <v>33</v>
      </c>
      <c r="F36" t="s">
        <v>26</v>
      </c>
      <c r="G36">
        <v>810</v>
      </c>
      <c r="H36">
        <v>787</v>
      </c>
      <c r="I36">
        <v>6402.6133010000003</v>
      </c>
      <c r="J36" t="b">
        <v>1</v>
      </c>
      <c r="K36">
        <v>16</v>
      </c>
      <c r="L36" t="b">
        <v>0</v>
      </c>
      <c r="M36">
        <v>155560.13500000001</v>
      </c>
      <c r="N36">
        <v>2025.5</v>
      </c>
      <c r="O36">
        <v>8473</v>
      </c>
      <c r="P36" t="s">
        <v>36</v>
      </c>
      <c r="Q36">
        <v>0.39990125894840778</v>
      </c>
      <c r="R36" t="s">
        <v>37</v>
      </c>
      <c r="S36">
        <v>7.9044608654320996</v>
      </c>
      <c r="T36">
        <v>0.23905346394429364</v>
      </c>
      <c r="U36" t="s">
        <v>34</v>
      </c>
      <c r="V36">
        <v>0</v>
      </c>
    </row>
    <row r="37" spans="1:22" x14ac:dyDescent="0.3">
      <c r="A37" s="1">
        <v>43970</v>
      </c>
      <c r="B37" t="s">
        <v>22</v>
      </c>
      <c r="C37" t="s">
        <v>23</v>
      </c>
      <c r="D37" t="s">
        <v>24</v>
      </c>
      <c r="E37" t="s">
        <v>33</v>
      </c>
      <c r="F37" t="s">
        <v>43</v>
      </c>
      <c r="G37">
        <v>160</v>
      </c>
      <c r="H37">
        <v>3264</v>
      </c>
      <c r="I37">
        <v>4210.1518420000002</v>
      </c>
      <c r="J37" t="b">
        <v>1</v>
      </c>
      <c r="K37">
        <v>12</v>
      </c>
      <c r="L37" t="b">
        <v>0</v>
      </c>
      <c r="M37">
        <v>7001.1103430000003</v>
      </c>
      <c r="N37">
        <v>2871.5</v>
      </c>
      <c r="O37">
        <v>8555</v>
      </c>
      <c r="P37" t="s">
        <v>27</v>
      </c>
      <c r="Q37">
        <v>5.5720006965000873E-2</v>
      </c>
      <c r="R37" t="s">
        <v>28</v>
      </c>
      <c r="S37">
        <v>26.313449012500001</v>
      </c>
      <c r="T37">
        <v>0.33565166569257743</v>
      </c>
      <c r="U37" t="s">
        <v>34</v>
      </c>
      <c r="V37">
        <v>0</v>
      </c>
    </row>
    <row r="38" spans="1:22" x14ac:dyDescent="0.3">
      <c r="A38" s="1">
        <v>43971</v>
      </c>
      <c r="B38" t="s">
        <v>38</v>
      </c>
      <c r="C38" t="s">
        <v>23</v>
      </c>
      <c r="D38" t="s">
        <v>32</v>
      </c>
      <c r="E38" t="s">
        <v>33</v>
      </c>
      <c r="F38" t="s">
        <v>26</v>
      </c>
      <c r="G38">
        <v>163</v>
      </c>
      <c r="H38">
        <v>2479</v>
      </c>
      <c r="I38">
        <v>9340.4913880000004</v>
      </c>
      <c r="J38" t="b">
        <v>0</v>
      </c>
      <c r="K38">
        <v>5</v>
      </c>
      <c r="L38" t="b">
        <v>0</v>
      </c>
      <c r="M38">
        <v>17772.092560000001</v>
      </c>
      <c r="N38">
        <v>1543.5</v>
      </c>
      <c r="O38">
        <v>5993</v>
      </c>
      <c r="P38" t="s">
        <v>27</v>
      </c>
      <c r="Q38">
        <v>0.10560414642047296</v>
      </c>
      <c r="R38" t="s">
        <v>40</v>
      </c>
      <c r="S38">
        <v>57.303628147239266</v>
      </c>
      <c r="T38">
        <v>0.25755047555481397</v>
      </c>
      <c r="U38" t="s">
        <v>34</v>
      </c>
      <c r="V38">
        <v>0</v>
      </c>
    </row>
    <row r="39" spans="1:22" x14ac:dyDescent="0.3">
      <c r="A39" s="1">
        <v>43972</v>
      </c>
      <c r="B39" t="s">
        <v>38</v>
      </c>
      <c r="C39" t="s">
        <v>31</v>
      </c>
      <c r="D39" t="s">
        <v>32</v>
      </c>
      <c r="E39" t="s">
        <v>33</v>
      </c>
      <c r="F39" t="s">
        <v>39</v>
      </c>
      <c r="G39">
        <v>544</v>
      </c>
      <c r="H39">
        <v>608</v>
      </c>
      <c r="I39">
        <v>7117.9948759999997</v>
      </c>
      <c r="J39" t="b">
        <v>1</v>
      </c>
      <c r="K39">
        <v>7</v>
      </c>
      <c r="L39" t="b">
        <v>0</v>
      </c>
      <c r="M39">
        <v>40525.042099999999</v>
      </c>
      <c r="N39">
        <v>2171</v>
      </c>
      <c r="O39">
        <v>8109</v>
      </c>
      <c r="P39" t="s">
        <v>36</v>
      </c>
      <c r="Q39">
        <v>0.25057577153385535</v>
      </c>
      <c r="R39" t="s">
        <v>40</v>
      </c>
      <c r="S39">
        <v>13.084549404411764</v>
      </c>
      <c r="T39">
        <v>0.26772721667283267</v>
      </c>
      <c r="U39" t="s">
        <v>34</v>
      </c>
      <c r="V39">
        <v>0</v>
      </c>
    </row>
    <row r="40" spans="1:22" x14ac:dyDescent="0.3">
      <c r="A40" s="1">
        <v>43973</v>
      </c>
      <c r="B40" t="s">
        <v>22</v>
      </c>
      <c r="C40" t="s">
        <v>44</v>
      </c>
      <c r="D40" t="s">
        <v>32</v>
      </c>
      <c r="E40" t="s">
        <v>45</v>
      </c>
      <c r="F40" t="s">
        <v>26</v>
      </c>
      <c r="G40">
        <v>637</v>
      </c>
      <c r="H40">
        <v>3734</v>
      </c>
      <c r="I40">
        <v>1504.9153369999999</v>
      </c>
      <c r="J40" t="b">
        <v>1</v>
      </c>
      <c r="K40">
        <v>10</v>
      </c>
      <c r="L40" t="b">
        <v>0</v>
      </c>
      <c r="M40">
        <v>73669.383000000002</v>
      </c>
      <c r="N40">
        <v>4001.5</v>
      </c>
      <c r="O40">
        <v>7059</v>
      </c>
      <c r="P40" t="s">
        <v>36</v>
      </c>
      <c r="Q40">
        <v>0.15919030363613645</v>
      </c>
      <c r="R40" t="s">
        <v>28</v>
      </c>
      <c r="S40">
        <v>2.3625044536891679</v>
      </c>
      <c r="T40">
        <v>0.56686499504179066</v>
      </c>
      <c r="U40" t="s">
        <v>29</v>
      </c>
      <c r="V40">
        <v>0</v>
      </c>
    </row>
    <row r="41" spans="1:22" x14ac:dyDescent="0.3">
      <c r="A41" s="1">
        <v>43974</v>
      </c>
      <c r="B41" t="s">
        <v>42</v>
      </c>
      <c r="C41" t="s">
        <v>23</v>
      </c>
      <c r="D41" t="s">
        <v>46</v>
      </c>
      <c r="E41" t="s">
        <v>45</v>
      </c>
      <c r="F41" t="s">
        <v>26</v>
      </c>
      <c r="G41">
        <v>880</v>
      </c>
      <c r="H41">
        <v>4269</v>
      </c>
      <c r="I41">
        <v>14244.019910000001</v>
      </c>
      <c r="J41" t="b">
        <v>1</v>
      </c>
      <c r="K41">
        <v>7</v>
      </c>
      <c r="L41" t="b">
        <v>0</v>
      </c>
      <c r="M41">
        <v>93875.84852</v>
      </c>
      <c r="N41">
        <v>3315</v>
      </c>
      <c r="O41">
        <v>8933</v>
      </c>
      <c r="P41" t="s">
        <v>27</v>
      </c>
      <c r="Q41">
        <v>0.26546003016591252</v>
      </c>
      <c r="R41" t="s">
        <v>40</v>
      </c>
      <c r="S41">
        <v>16.186386261363637</v>
      </c>
      <c r="T41">
        <v>0.3710959364155379</v>
      </c>
      <c r="U41" t="s">
        <v>34</v>
      </c>
      <c r="V41">
        <v>0</v>
      </c>
    </row>
    <row r="42" spans="1:22" x14ac:dyDescent="0.3">
      <c r="A42" s="1">
        <v>43975</v>
      </c>
      <c r="B42" t="s">
        <v>42</v>
      </c>
      <c r="C42" t="s">
        <v>41</v>
      </c>
      <c r="D42" t="s">
        <v>46</v>
      </c>
      <c r="E42" t="s">
        <v>25</v>
      </c>
      <c r="F42" t="s">
        <v>26</v>
      </c>
      <c r="G42">
        <v>224</v>
      </c>
      <c r="H42">
        <v>2361</v>
      </c>
      <c r="I42">
        <v>13981.97998</v>
      </c>
      <c r="J42" t="b">
        <v>1</v>
      </c>
      <c r="K42">
        <v>24</v>
      </c>
      <c r="L42" t="b">
        <v>0</v>
      </c>
      <c r="M42">
        <v>38461.181759999999</v>
      </c>
      <c r="N42">
        <v>2944.5</v>
      </c>
      <c r="O42">
        <v>6135</v>
      </c>
      <c r="P42" t="s">
        <v>36</v>
      </c>
      <c r="Q42">
        <v>7.6074036338937001E-2</v>
      </c>
      <c r="R42" t="s">
        <v>37</v>
      </c>
      <c r="S42">
        <v>62.419553482142859</v>
      </c>
      <c r="T42">
        <v>0.47995110024449877</v>
      </c>
      <c r="U42" t="s">
        <v>29</v>
      </c>
      <c r="V42">
        <v>0</v>
      </c>
    </row>
    <row r="43" spans="1:22" x14ac:dyDescent="0.3">
      <c r="A43" s="1">
        <v>43976</v>
      </c>
      <c r="B43" t="s">
        <v>42</v>
      </c>
      <c r="C43" t="s">
        <v>44</v>
      </c>
      <c r="D43" t="s">
        <v>46</v>
      </c>
      <c r="E43" t="s">
        <v>45</v>
      </c>
      <c r="F43" t="s">
        <v>26</v>
      </c>
      <c r="G43">
        <v>419</v>
      </c>
      <c r="H43">
        <v>3528</v>
      </c>
      <c r="I43">
        <v>8465.2322949999998</v>
      </c>
      <c r="J43" t="b">
        <v>1</v>
      </c>
      <c r="K43">
        <v>11</v>
      </c>
      <c r="L43" t="b">
        <v>0</v>
      </c>
      <c r="M43">
        <v>60470.18172</v>
      </c>
      <c r="N43">
        <v>4024.5</v>
      </c>
      <c r="O43">
        <v>6287</v>
      </c>
      <c r="P43" t="s">
        <v>36</v>
      </c>
      <c r="Q43">
        <v>0.1041123120884582</v>
      </c>
      <c r="R43" t="s">
        <v>28</v>
      </c>
      <c r="S43">
        <v>20.20341836515513</v>
      </c>
      <c r="T43">
        <v>0.64013042786702723</v>
      </c>
      <c r="U43" t="s">
        <v>29</v>
      </c>
      <c r="V43">
        <v>0</v>
      </c>
    </row>
    <row r="44" spans="1:22" x14ac:dyDescent="0.3">
      <c r="A44" s="1">
        <v>43977</v>
      </c>
      <c r="B44" t="s">
        <v>22</v>
      </c>
      <c r="C44" t="s">
        <v>31</v>
      </c>
      <c r="D44" t="s">
        <v>24</v>
      </c>
      <c r="E44" t="s">
        <v>33</v>
      </c>
      <c r="F44" t="s">
        <v>26</v>
      </c>
      <c r="G44">
        <v>862</v>
      </c>
      <c r="H44">
        <v>4521</v>
      </c>
      <c r="I44">
        <v>12357.93224</v>
      </c>
      <c r="J44" t="b">
        <v>1</v>
      </c>
      <c r="K44">
        <v>18</v>
      </c>
      <c r="L44" t="b">
        <v>0</v>
      </c>
      <c r="M44">
        <v>44424.398630000003</v>
      </c>
      <c r="N44">
        <v>2861</v>
      </c>
      <c r="O44">
        <v>6275</v>
      </c>
      <c r="P44" t="s">
        <v>27</v>
      </c>
      <c r="Q44">
        <v>0.30129325410695562</v>
      </c>
      <c r="R44" t="s">
        <v>37</v>
      </c>
      <c r="S44">
        <v>14.336348306264501</v>
      </c>
      <c r="T44">
        <v>0.45593625498007967</v>
      </c>
      <c r="U44" t="s">
        <v>29</v>
      </c>
      <c r="V44">
        <v>0</v>
      </c>
    </row>
    <row r="45" spans="1:22" x14ac:dyDescent="0.3">
      <c r="A45" s="1">
        <v>43978</v>
      </c>
      <c r="B45" t="s">
        <v>38</v>
      </c>
      <c r="C45" t="s">
        <v>44</v>
      </c>
      <c r="D45" t="s">
        <v>24</v>
      </c>
      <c r="E45" t="s">
        <v>25</v>
      </c>
      <c r="F45" t="s">
        <v>26</v>
      </c>
      <c r="G45">
        <v>115</v>
      </c>
      <c r="H45">
        <v>1201</v>
      </c>
      <c r="I45">
        <v>6852.6189400000003</v>
      </c>
      <c r="J45" t="b">
        <v>1</v>
      </c>
      <c r="K45">
        <v>19</v>
      </c>
      <c r="L45" t="b">
        <v>0</v>
      </c>
      <c r="M45">
        <v>7617.7845850000003</v>
      </c>
      <c r="N45">
        <v>2577.5</v>
      </c>
      <c r="O45">
        <v>8045</v>
      </c>
      <c r="P45" t="s">
        <v>36</v>
      </c>
      <c r="Q45">
        <v>4.4616876818622697E-2</v>
      </c>
      <c r="R45" t="s">
        <v>37</v>
      </c>
      <c r="S45">
        <v>59.587990782608699</v>
      </c>
      <c r="T45">
        <v>0.32038533250466128</v>
      </c>
      <c r="U45" t="s">
        <v>34</v>
      </c>
      <c r="V45">
        <v>0</v>
      </c>
    </row>
    <row r="46" spans="1:22" x14ac:dyDescent="0.3">
      <c r="A46" s="1">
        <v>43979</v>
      </c>
      <c r="B46" t="s">
        <v>22</v>
      </c>
      <c r="C46" t="s">
        <v>31</v>
      </c>
      <c r="D46" t="s">
        <v>32</v>
      </c>
      <c r="E46" t="s">
        <v>25</v>
      </c>
      <c r="F46" t="s">
        <v>26</v>
      </c>
      <c r="G46">
        <v>899</v>
      </c>
      <c r="H46">
        <v>3954</v>
      </c>
      <c r="I46">
        <v>11277.76989</v>
      </c>
      <c r="J46" t="b">
        <v>1</v>
      </c>
      <c r="K46">
        <v>21</v>
      </c>
      <c r="L46" t="b">
        <v>1</v>
      </c>
      <c r="M46">
        <v>136368.79759999999</v>
      </c>
      <c r="N46">
        <v>3328.5</v>
      </c>
      <c r="O46">
        <v>5726</v>
      </c>
      <c r="P46" t="s">
        <v>27</v>
      </c>
      <c r="Q46">
        <v>0.27009163286765808</v>
      </c>
      <c r="R46" t="s">
        <v>37</v>
      </c>
      <c r="S46">
        <v>12.544794093437153</v>
      </c>
      <c r="T46">
        <v>0.58129584352078245</v>
      </c>
      <c r="U46" t="s">
        <v>29</v>
      </c>
      <c r="V46">
        <v>1</v>
      </c>
    </row>
    <row r="47" spans="1:22" x14ac:dyDescent="0.3">
      <c r="A47" s="1">
        <v>43980</v>
      </c>
      <c r="B47" t="s">
        <v>42</v>
      </c>
      <c r="C47" t="s">
        <v>44</v>
      </c>
      <c r="D47" t="s">
        <v>32</v>
      </c>
      <c r="E47" t="s">
        <v>45</v>
      </c>
      <c r="F47" t="s">
        <v>26</v>
      </c>
      <c r="G47">
        <v>416</v>
      </c>
      <c r="H47">
        <v>2703</v>
      </c>
      <c r="I47">
        <v>5512.0255649999999</v>
      </c>
      <c r="J47" t="b">
        <v>1</v>
      </c>
      <c r="K47">
        <v>17</v>
      </c>
      <c r="L47" t="b">
        <v>0</v>
      </c>
      <c r="M47">
        <v>25875.5298</v>
      </c>
      <c r="N47">
        <v>1610</v>
      </c>
      <c r="O47">
        <v>9326</v>
      </c>
      <c r="P47" t="s">
        <v>27</v>
      </c>
      <c r="Q47">
        <v>0.25838509316770186</v>
      </c>
      <c r="R47" t="s">
        <v>37</v>
      </c>
      <c r="S47">
        <v>13.250061454326923</v>
      </c>
      <c r="T47">
        <v>0.17263564229037101</v>
      </c>
      <c r="U47" t="s">
        <v>34</v>
      </c>
      <c r="V47">
        <v>0</v>
      </c>
    </row>
    <row r="48" spans="1:22" x14ac:dyDescent="0.3">
      <c r="A48" s="1">
        <v>43981</v>
      </c>
      <c r="B48" t="s">
        <v>38</v>
      </c>
      <c r="C48" t="s">
        <v>23</v>
      </c>
      <c r="D48" t="s">
        <v>46</v>
      </c>
      <c r="E48" t="s">
        <v>25</v>
      </c>
      <c r="F48" t="s">
        <v>26</v>
      </c>
      <c r="G48">
        <v>899</v>
      </c>
      <c r="H48">
        <v>517</v>
      </c>
      <c r="I48">
        <v>1531.1052689999999</v>
      </c>
      <c r="J48" t="b">
        <v>1</v>
      </c>
      <c r="K48">
        <v>29</v>
      </c>
      <c r="L48" t="b">
        <v>0</v>
      </c>
      <c r="M48">
        <v>122327.7816</v>
      </c>
      <c r="N48">
        <v>1933.5</v>
      </c>
      <c r="O48">
        <v>5179</v>
      </c>
      <c r="P48" t="s">
        <v>36</v>
      </c>
      <c r="Q48">
        <v>0.46495991724851304</v>
      </c>
      <c r="R48" t="s">
        <v>37</v>
      </c>
      <c r="S48">
        <v>1.7031204327030032</v>
      </c>
      <c r="T48">
        <v>0.37333462058312417</v>
      </c>
      <c r="U48" t="s">
        <v>34</v>
      </c>
      <c r="V48">
        <v>0</v>
      </c>
    </row>
    <row r="49" spans="1:22" x14ac:dyDescent="0.3">
      <c r="A49" s="1">
        <v>43982</v>
      </c>
      <c r="B49" t="s">
        <v>42</v>
      </c>
      <c r="C49" t="s">
        <v>31</v>
      </c>
      <c r="D49" t="s">
        <v>24</v>
      </c>
      <c r="E49" t="s">
        <v>45</v>
      </c>
      <c r="F49" t="s">
        <v>43</v>
      </c>
      <c r="G49">
        <v>167</v>
      </c>
      <c r="H49">
        <v>3350</v>
      </c>
      <c r="I49">
        <v>4644.7010060000002</v>
      </c>
      <c r="J49" t="b">
        <v>0</v>
      </c>
      <c r="K49">
        <v>24</v>
      </c>
      <c r="L49" t="b">
        <v>0</v>
      </c>
      <c r="M49">
        <v>26062.892510000001</v>
      </c>
      <c r="N49">
        <v>3929.5</v>
      </c>
      <c r="O49">
        <v>8868</v>
      </c>
      <c r="P49" t="s">
        <v>36</v>
      </c>
      <c r="Q49">
        <v>4.2499045680111973E-2</v>
      </c>
      <c r="R49" t="s">
        <v>37</v>
      </c>
      <c r="S49">
        <v>27.812580874251498</v>
      </c>
      <c r="T49">
        <v>0.44311005863779884</v>
      </c>
      <c r="U49" t="s">
        <v>29</v>
      </c>
      <c r="V49">
        <v>0</v>
      </c>
    </row>
    <row r="50" spans="1:22" x14ac:dyDescent="0.3">
      <c r="A50" s="1">
        <v>43983</v>
      </c>
      <c r="B50" t="s">
        <v>22</v>
      </c>
      <c r="C50" t="s">
        <v>41</v>
      </c>
      <c r="D50" t="s">
        <v>24</v>
      </c>
      <c r="E50" t="s">
        <v>25</v>
      </c>
      <c r="F50" t="s">
        <v>26</v>
      </c>
      <c r="G50">
        <v>197</v>
      </c>
      <c r="H50">
        <v>4509</v>
      </c>
      <c r="I50">
        <v>14603.986779999999</v>
      </c>
      <c r="J50" t="b">
        <v>1</v>
      </c>
      <c r="K50">
        <v>22</v>
      </c>
      <c r="L50" t="b">
        <v>0</v>
      </c>
      <c r="M50">
        <v>24967.371810000001</v>
      </c>
      <c r="N50">
        <v>4374.5</v>
      </c>
      <c r="O50">
        <v>8831</v>
      </c>
      <c r="P50" t="s">
        <v>27</v>
      </c>
      <c r="Q50">
        <v>4.503371813921591E-2</v>
      </c>
      <c r="R50" t="s">
        <v>37</v>
      </c>
      <c r="S50">
        <v>74.131912588832478</v>
      </c>
      <c r="T50">
        <v>0.49535726418299175</v>
      </c>
      <c r="U50" t="s">
        <v>29</v>
      </c>
      <c r="V50">
        <v>0</v>
      </c>
    </row>
    <row r="51" spans="1:22" x14ac:dyDescent="0.3">
      <c r="A51" s="1">
        <v>43984</v>
      </c>
      <c r="B51" t="s">
        <v>22</v>
      </c>
      <c r="C51" t="s">
        <v>23</v>
      </c>
      <c r="D51" t="s">
        <v>24</v>
      </c>
      <c r="E51" t="s">
        <v>25</v>
      </c>
      <c r="F51" t="s">
        <v>43</v>
      </c>
      <c r="G51">
        <v>586</v>
      </c>
      <c r="H51">
        <v>4240</v>
      </c>
      <c r="I51">
        <v>11623.975420000001</v>
      </c>
      <c r="J51" t="b">
        <v>1</v>
      </c>
      <c r="K51">
        <v>28</v>
      </c>
      <c r="L51" t="b">
        <v>1</v>
      </c>
      <c r="M51">
        <v>33931.89301</v>
      </c>
      <c r="N51">
        <v>3948.5</v>
      </c>
      <c r="O51">
        <v>5873</v>
      </c>
      <c r="P51" t="s">
        <v>27</v>
      </c>
      <c r="Q51">
        <v>0.14841078890717993</v>
      </c>
      <c r="R51" t="s">
        <v>37</v>
      </c>
      <c r="S51">
        <v>19.836135529010239</v>
      </c>
      <c r="T51">
        <v>0.67231397922697089</v>
      </c>
      <c r="U51" t="s">
        <v>29</v>
      </c>
      <c r="V51">
        <v>1</v>
      </c>
    </row>
    <row r="52" spans="1:22" x14ac:dyDescent="0.3">
      <c r="A52" s="1">
        <v>43985</v>
      </c>
      <c r="B52" t="s">
        <v>22</v>
      </c>
      <c r="C52" t="s">
        <v>23</v>
      </c>
      <c r="D52" t="s">
        <v>32</v>
      </c>
      <c r="E52" t="s">
        <v>25</v>
      </c>
      <c r="F52" t="s">
        <v>26</v>
      </c>
      <c r="G52">
        <v>758</v>
      </c>
      <c r="H52">
        <v>3657</v>
      </c>
      <c r="I52">
        <v>11802.50374</v>
      </c>
      <c r="J52" t="b">
        <v>1</v>
      </c>
      <c r="K52">
        <v>21</v>
      </c>
      <c r="L52" t="b">
        <v>0</v>
      </c>
      <c r="M52">
        <v>70439.512889999998</v>
      </c>
      <c r="N52">
        <v>2233</v>
      </c>
      <c r="O52">
        <v>5467</v>
      </c>
      <c r="P52" t="s">
        <v>27</v>
      </c>
      <c r="Q52">
        <v>0.33945364979847736</v>
      </c>
      <c r="R52" t="s">
        <v>37</v>
      </c>
      <c r="S52">
        <v>15.570585408970976</v>
      </c>
      <c r="T52">
        <v>0.40845070422535212</v>
      </c>
      <c r="U52" t="s">
        <v>29</v>
      </c>
      <c r="V52">
        <v>0</v>
      </c>
    </row>
    <row r="53" spans="1:22" x14ac:dyDescent="0.3">
      <c r="A53" s="1">
        <v>43986</v>
      </c>
      <c r="B53" t="s">
        <v>30</v>
      </c>
      <c r="C53" t="s">
        <v>23</v>
      </c>
      <c r="D53" t="s">
        <v>24</v>
      </c>
      <c r="E53" t="s">
        <v>33</v>
      </c>
      <c r="F53" t="s">
        <v>26</v>
      </c>
      <c r="G53">
        <v>318</v>
      </c>
      <c r="H53">
        <v>809</v>
      </c>
      <c r="I53">
        <v>9952.0873580000007</v>
      </c>
      <c r="J53" t="b">
        <v>1</v>
      </c>
      <c r="K53">
        <v>17</v>
      </c>
      <c r="L53" t="b">
        <v>1</v>
      </c>
      <c r="M53">
        <v>38176.309520000003</v>
      </c>
      <c r="N53">
        <v>513.5</v>
      </c>
      <c r="O53">
        <v>5931</v>
      </c>
      <c r="P53" t="s">
        <v>27</v>
      </c>
      <c r="Q53">
        <v>0.61927945472249268</v>
      </c>
      <c r="R53" t="s">
        <v>37</v>
      </c>
      <c r="S53">
        <v>31.295872194968556</v>
      </c>
      <c r="T53">
        <v>8.6578991738324063E-2</v>
      </c>
      <c r="U53" t="s">
        <v>34</v>
      </c>
      <c r="V53">
        <v>1</v>
      </c>
    </row>
    <row r="54" spans="1:22" x14ac:dyDescent="0.3">
      <c r="A54" s="1">
        <v>43987</v>
      </c>
      <c r="B54" t="s">
        <v>38</v>
      </c>
      <c r="C54" t="s">
        <v>44</v>
      </c>
      <c r="D54" t="s">
        <v>32</v>
      </c>
      <c r="E54" t="s">
        <v>25</v>
      </c>
      <c r="F54" t="s">
        <v>26</v>
      </c>
      <c r="G54">
        <v>478</v>
      </c>
      <c r="H54">
        <v>218</v>
      </c>
      <c r="I54">
        <v>8105.2583260000001</v>
      </c>
      <c r="J54" t="b">
        <v>0</v>
      </c>
      <c r="K54">
        <v>29</v>
      </c>
      <c r="L54" t="b">
        <v>0</v>
      </c>
      <c r="M54">
        <v>47059.70534</v>
      </c>
      <c r="N54">
        <v>1170</v>
      </c>
      <c r="O54">
        <v>5090</v>
      </c>
      <c r="P54" t="s">
        <v>36</v>
      </c>
      <c r="Q54">
        <v>0.40854700854700854</v>
      </c>
      <c r="R54" t="s">
        <v>37</v>
      </c>
      <c r="S54">
        <v>16.956607376569039</v>
      </c>
      <c r="T54">
        <v>0.22986247544204322</v>
      </c>
      <c r="U54" t="s">
        <v>34</v>
      </c>
      <c r="V54">
        <v>0</v>
      </c>
    </row>
    <row r="55" spans="1:22" x14ac:dyDescent="0.3">
      <c r="A55" s="1">
        <v>43988</v>
      </c>
      <c r="B55" t="s">
        <v>30</v>
      </c>
      <c r="C55" t="s">
        <v>31</v>
      </c>
      <c r="D55" t="s">
        <v>24</v>
      </c>
      <c r="E55" t="s">
        <v>25</v>
      </c>
      <c r="F55" t="s">
        <v>26</v>
      </c>
      <c r="G55">
        <v>655</v>
      </c>
      <c r="H55">
        <v>2122</v>
      </c>
      <c r="I55">
        <v>4932.680969</v>
      </c>
      <c r="J55" t="b">
        <v>1</v>
      </c>
      <c r="K55">
        <v>6</v>
      </c>
      <c r="L55" t="b">
        <v>0</v>
      </c>
      <c r="M55">
        <v>22700.324499999999</v>
      </c>
      <c r="N55">
        <v>3410</v>
      </c>
      <c r="O55">
        <v>5683</v>
      </c>
      <c r="P55" t="s">
        <v>36</v>
      </c>
      <c r="Q55">
        <v>0.19208211143695014</v>
      </c>
      <c r="R55" t="s">
        <v>40</v>
      </c>
      <c r="S55">
        <v>7.5308106396946561</v>
      </c>
      <c r="T55">
        <v>0.60003519267992256</v>
      </c>
      <c r="U55" t="s">
        <v>29</v>
      </c>
      <c r="V55">
        <v>0</v>
      </c>
    </row>
    <row r="56" spans="1:22" x14ac:dyDescent="0.3">
      <c r="A56" s="1">
        <v>43989</v>
      </c>
      <c r="B56" t="s">
        <v>38</v>
      </c>
      <c r="C56" t="s">
        <v>23</v>
      </c>
      <c r="D56" t="s">
        <v>24</v>
      </c>
      <c r="E56" t="s">
        <v>25</v>
      </c>
      <c r="F56" t="s">
        <v>26</v>
      </c>
      <c r="G56">
        <v>536</v>
      </c>
      <c r="H56">
        <v>4698</v>
      </c>
      <c r="I56">
        <v>3412.7191120000002</v>
      </c>
      <c r="J56" t="b">
        <v>1</v>
      </c>
      <c r="K56">
        <v>27</v>
      </c>
      <c r="L56" t="b">
        <v>0</v>
      </c>
      <c r="M56">
        <v>103533.1724</v>
      </c>
      <c r="N56">
        <v>3420</v>
      </c>
      <c r="O56">
        <v>8494</v>
      </c>
      <c r="P56" t="s">
        <v>27</v>
      </c>
      <c r="Q56">
        <v>0.15672514619883041</v>
      </c>
      <c r="R56" t="s">
        <v>37</v>
      </c>
      <c r="S56">
        <v>6.3670132686567165</v>
      </c>
      <c r="T56">
        <v>0.40263715563927477</v>
      </c>
      <c r="U56" t="s">
        <v>29</v>
      </c>
      <c r="V56">
        <v>0</v>
      </c>
    </row>
    <row r="57" spans="1:22" x14ac:dyDescent="0.3">
      <c r="A57" s="1">
        <v>43990</v>
      </c>
      <c r="B57" t="s">
        <v>42</v>
      </c>
      <c r="C57" t="s">
        <v>41</v>
      </c>
      <c r="D57" t="s">
        <v>24</v>
      </c>
      <c r="E57" t="s">
        <v>45</v>
      </c>
      <c r="F57" t="s">
        <v>26</v>
      </c>
      <c r="G57">
        <v>481</v>
      </c>
      <c r="H57">
        <v>2142</v>
      </c>
      <c r="I57">
        <v>6629.1872579999999</v>
      </c>
      <c r="J57" t="b">
        <v>1</v>
      </c>
      <c r="K57">
        <v>27</v>
      </c>
      <c r="L57" t="b">
        <v>0</v>
      </c>
      <c r="M57">
        <v>44693.742160000002</v>
      </c>
      <c r="N57">
        <v>1872</v>
      </c>
      <c r="O57">
        <v>9889</v>
      </c>
      <c r="P57" t="s">
        <v>27</v>
      </c>
      <c r="Q57">
        <v>0.25694444444444442</v>
      </c>
      <c r="R57" t="s">
        <v>37</v>
      </c>
      <c r="S57">
        <v>13.782094091476091</v>
      </c>
      <c r="T57">
        <v>0.18930124380624938</v>
      </c>
      <c r="U57" t="s">
        <v>34</v>
      </c>
      <c r="V57">
        <v>0</v>
      </c>
    </row>
    <row r="58" spans="1:22" x14ac:dyDescent="0.3">
      <c r="A58" s="1">
        <v>43991</v>
      </c>
      <c r="B58" t="s">
        <v>30</v>
      </c>
      <c r="C58" t="s">
        <v>41</v>
      </c>
      <c r="D58" t="s">
        <v>46</v>
      </c>
      <c r="E58" t="s">
        <v>25</v>
      </c>
      <c r="F58" t="s">
        <v>26</v>
      </c>
      <c r="G58">
        <v>841</v>
      </c>
      <c r="H58">
        <v>1602</v>
      </c>
      <c r="I58">
        <v>9057.4762179999998</v>
      </c>
      <c r="J58" t="b">
        <v>1</v>
      </c>
      <c r="K58">
        <v>29</v>
      </c>
      <c r="L58" t="b">
        <v>0</v>
      </c>
      <c r="M58">
        <v>143001.22940000001</v>
      </c>
      <c r="N58">
        <v>1009.5</v>
      </c>
      <c r="O58">
        <v>6172</v>
      </c>
      <c r="P58" t="s">
        <v>27</v>
      </c>
      <c r="Q58">
        <v>0.83308568598316002</v>
      </c>
      <c r="R58" t="s">
        <v>37</v>
      </c>
      <c r="S58">
        <v>10.769888487514862</v>
      </c>
      <c r="T58">
        <v>0.16356124432922878</v>
      </c>
      <c r="U58" t="s">
        <v>34</v>
      </c>
      <c r="V58">
        <v>0</v>
      </c>
    </row>
    <row r="59" spans="1:22" x14ac:dyDescent="0.3">
      <c r="A59" s="1">
        <v>43992</v>
      </c>
      <c r="B59" t="s">
        <v>42</v>
      </c>
      <c r="C59" t="s">
        <v>41</v>
      </c>
      <c r="D59" t="s">
        <v>24</v>
      </c>
      <c r="E59" t="s">
        <v>45</v>
      </c>
      <c r="F59" t="s">
        <v>39</v>
      </c>
      <c r="G59">
        <v>567</v>
      </c>
      <c r="H59">
        <v>417</v>
      </c>
      <c r="I59">
        <v>10110.393120000001</v>
      </c>
      <c r="J59" t="b">
        <v>1</v>
      </c>
      <c r="K59">
        <v>22</v>
      </c>
      <c r="L59" t="b">
        <v>0</v>
      </c>
      <c r="M59">
        <v>36611.983630000002</v>
      </c>
      <c r="N59">
        <v>1445.5</v>
      </c>
      <c r="O59">
        <v>5025</v>
      </c>
      <c r="P59" t="s">
        <v>36</v>
      </c>
      <c r="Q59">
        <v>0.39225181598062953</v>
      </c>
      <c r="R59" t="s">
        <v>37</v>
      </c>
      <c r="S59">
        <v>17.831381164021167</v>
      </c>
      <c r="T59">
        <v>0.28766169154228854</v>
      </c>
      <c r="U59" t="s">
        <v>34</v>
      </c>
      <c r="V59">
        <v>0</v>
      </c>
    </row>
    <row r="60" spans="1:22" x14ac:dyDescent="0.3">
      <c r="A60" s="1">
        <v>43993</v>
      </c>
      <c r="B60" t="s">
        <v>22</v>
      </c>
      <c r="C60" t="s">
        <v>31</v>
      </c>
      <c r="D60" t="s">
        <v>46</v>
      </c>
      <c r="E60" t="s">
        <v>25</v>
      </c>
      <c r="F60" t="s">
        <v>43</v>
      </c>
      <c r="G60">
        <v>953</v>
      </c>
      <c r="H60">
        <v>2474</v>
      </c>
      <c r="I60">
        <v>8191.1511950000004</v>
      </c>
      <c r="J60" t="b">
        <v>1</v>
      </c>
      <c r="K60">
        <v>10</v>
      </c>
      <c r="L60" t="b">
        <v>0</v>
      </c>
      <c r="M60">
        <v>145928.66639999999</v>
      </c>
      <c r="N60">
        <v>2319</v>
      </c>
      <c r="O60">
        <v>5980</v>
      </c>
      <c r="P60" t="s">
        <v>27</v>
      </c>
      <c r="Q60">
        <v>0.41095299698145754</v>
      </c>
      <c r="R60" t="s">
        <v>28</v>
      </c>
      <c r="S60">
        <v>8.595121925498427</v>
      </c>
      <c r="T60">
        <v>0.38779264214046821</v>
      </c>
      <c r="U60" t="s">
        <v>34</v>
      </c>
      <c r="V60">
        <v>0</v>
      </c>
    </row>
    <row r="61" spans="1:22" x14ac:dyDescent="0.3">
      <c r="A61" s="1">
        <v>43994</v>
      </c>
      <c r="B61" t="s">
        <v>38</v>
      </c>
      <c r="C61" t="s">
        <v>44</v>
      </c>
      <c r="D61" t="s">
        <v>46</v>
      </c>
      <c r="E61" t="s">
        <v>33</v>
      </c>
      <c r="F61" t="s">
        <v>43</v>
      </c>
      <c r="G61">
        <v>971</v>
      </c>
      <c r="H61">
        <v>2164</v>
      </c>
      <c r="I61">
        <v>10255.97538</v>
      </c>
      <c r="J61" t="b">
        <v>1</v>
      </c>
      <c r="K61">
        <v>16</v>
      </c>
      <c r="L61" t="b">
        <v>0</v>
      </c>
      <c r="M61">
        <v>149515.19339999999</v>
      </c>
      <c r="N61">
        <v>3472.5</v>
      </c>
      <c r="O61">
        <v>5762</v>
      </c>
      <c r="P61" t="s">
        <v>36</v>
      </c>
      <c r="Q61">
        <v>0.27962562994960405</v>
      </c>
      <c r="R61" t="s">
        <v>37</v>
      </c>
      <c r="S61">
        <v>10.562281544799175</v>
      </c>
      <c r="T61">
        <v>0.60265532801110722</v>
      </c>
      <c r="U61" t="s">
        <v>29</v>
      </c>
      <c r="V61">
        <v>0</v>
      </c>
    </row>
    <row r="62" spans="1:22" x14ac:dyDescent="0.3">
      <c r="A62" s="1">
        <v>43995</v>
      </c>
      <c r="B62" t="s">
        <v>22</v>
      </c>
      <c r="C62" t="s">
        <v>41</v>
      </c>
      <c r="D62" t="s">
        <v>24</v>
      </c>
      <c r="E62" t="s">
        <v>45</v>
      </c>
      <c r="F62" t="s">
        <v>26</v>
      </c>
      <c r="G62">
        <v>372</v>
      </c>
      <c r="H62">
        <v>4781</v>
      </c>
      <c r="I62">
        <v>1327.8740270000001</v>
      </c>
      <c r="J62" t="b">
        <v>1</v>
      </c>
      <c r="K62">
        <v>22</v>
      </c>
      <c r="L62" t="b">
        <v>0</v>
      </c>
      <c r="M62">
        <v>73748.187239999999</v>
      </c>
      <c r="N62">
        <v>3131</v>
      </c>
      <c r="O62">
        <v>7201</v>
      </c>
      <c r="P62" t="s">
        <v>27</v>
      </c>
      <c r="Q62">
        <v>0.11881188118811881</v>
      </c>
      <c r="R62" t="s">
        <v>37</v>
      </c>
      <c r="S62">
        <v>3.5695538360215058</v>
      </c>
      <c r="T62">
        <v>0.4348007221219275</v>
      </c>
      <c r="U62" t="s">
        <v>29</v>
      </c>
      <c r="V62">
        <v>0</v>
      </c>
    </row>
    <row r="63" spans="1:22" x14ac:dyDescent="0.3">
      <c r="A63" s="1">
        <v>43996</v>
      </c>
      <c r="B63" t="s">
        <v>42</v>
      </c>
      <c r="C63" t="s">
        <v>23</v>
      </c>
      <c r="D63" t="s">
        <v>32</v>
      </c>
      <c r="E63" t="s">
        <v>45</v>
      </c>
      <c r="F63" t="s">
        <v>26</v>
      </c>
      <c r="G63">
        <v>298</v>
      </c>
      <c r="H63">
        <v>1481</v>
      </c>
      <c r="I63">
        <v>9278.9450369999995</v>
      </c>
      <c r="J63" t="b">
        <v>1</v>
      </c>
      <c r="K63">
        <v>15</v>
      </c>
      <c r="L63" t="b">
        <v>0</v>
      </c>
      <c r="M63">
        <v>59564.056989999997</v>
      </c>
      <c r="N63">
        <v>2219</v>
      </c>
      <c r="O63">
        <v>9362</v>
      </c>
      <c r="P63" t="s">
        <v>36</v>
      </c>
      <c r="Q63">
        <v>0.13429472735466427</v>
      </c>
      <c r="R63" t="s">
        <v>37</v>
      </c>
      <c r="S63">
        <v>31.137399453020134</v>
      </c>
      <c r="T63">
        <v>0.2370220038453322</v>
      </c>
      <c r="U63" t="s">
        <v>34</v>
      </c>
      <c r="V63">
        <v>0</v>
      </c>
    </row>
    <row r="64" spans="1:22" x14ac:dyDescent="0.3">
      <c r="A64" s="1">
        <v>43997</v>
      </c>
      <c r="B64" t="s">
        <v>38</v>
      </c>
      <c r="C64" t="s">
        <v>44</v>
      </c>
      <c r="D64" t="s">
        <v>24</v>
      </c>
      <c r="E64" t="s">
        <v>33</v>
      </c>
      <c r="F64" t="s">
        <v>26</v>
      </c>
      <c r="G64">
        <v>863</v>
      </c>
      <c r="H64">
        <v>2957</v>
      </c>
      <c r="I64">
        <v>1757.855215</v>
      </c>
      <c r="J64" t="b">
        <v>1</v>
      </c>
      <c r="K64">
        <v>19</v>
      </c>
      <c r="L64" t="b">
        <v>0</v>
      </c>
      <c r="M64">
        <v>130185.014</v>
      </c>
      <c r="N64">
        <v>3665</v>
      </c>
      <c r="O64">
        <v>8369</v>
      </c>
      <c r="P64" t="s">
        <v>36</v>
      </c>
      <c r="Q64">
        <v>0.2354706684856753</v>
      </c>
      <c r="R64" t="s">
        <v>37</v>
      </c>
      <c r="S64">
        <v>2.0369121842410198</v>
      </c>
      <c r="T64">
        <v>0.43792567809774169</v>
      </c>
      <c r="U64" t="s">
        <v>29</v>
      </c>
      <c r="V64">
        <v>0</v>
      </c>
    </row>
    <row r="65" spans="1:22" x14ac:dyDescent="0.3">
      <c r="A65" s="1">
        <v>43998</v>
      </c>
      <c r="B65" t="s">
        <v>30</v>
      </c>
      <c r="C65" t="s">
        <v>31</v>
      </c>
      <c r="D65" t="s">
        <v>24</v>
      </c>
      <c r="E65" t="s">
        <v>33</v>
      </c>
      <c r="F65" t="s">
        <v>26</v>
      </c>
      <c r="G65">
        <v>117</v>
      </c>
      <c r="H65">
        <v>4373</v>
      </c>
      <c r="I65">
        <v>3332.7049320000001</v>
      </c>
      <c r="J65" t="b">
        <v>1</v>
      </c>
      <c r="K65">
        <v>12</v>
      </c>
      <c r="L65" t="b">
        <v>0</v>
      </c>
      <c r="M65">
        <v>12284.48648</v>
      </c>
      <c r="N65">
        <v>2815.5</v>
      </c>
      <c r="O65">
        <v>9641</v>
      </c>
      <c r="P65" t="s">
        <v>27</v>
      </c>
      <c r="Q65">
        <v>4.1555673947789022E-2</v>
      </c>
      <c r="R65" t="s">
        <v>28</v>
      </c>
      <c r="S65">
        <v>28.484657538461541</v>
      </c>
      <c r="T65">
        <v>0.29203402136707812</v>
      </c>
      <c r="U65" t="s">
        <v>34</v>
      </c>
      <c r="V65">
        <v>0</v>
      </c>
    </row>
    <row r="66" spans="1:22" x14ac:dyDescent="0.3">
      <c r="A66" s="1">
        <v>43999</v>
      </c>
      <c r="B66" t="s">
        <v>30</v>
      </c>
      <c r="C66" t="s">
        <v>23</v>
      </c>
      <c r="D66" t="s">
        <v>35</v>
      </c>
      <c r="E66" t="s">
        <v>45</v>
      </c>
      <c r="F66" t="s">
        <v>26</v>
      </c>
      <c r="G66">
        <v>530</v>
      </c>
      <c r="H66">
        <v>1258</v>
      </c>
      <c r="I66">
        <v>11838.02241</v>
      </c>
      <c r="J66" t="b">
        <v>1</v>
      </c>
      <c r="K66">
        <v>3</v>
      </c>
      <c r="L66" t="b">
        <v>0</v>
      </c>
      <c r="M66">
        <v>91308.726590000006</v>
      </c>
      <c r="N66">
        <v>722.5</v>
      </c>
      <c r="O66">
        <v>7226</v>
      </c>
      <c r="P66" t="s">
        <v>27</v>
      </c>
      <c r="Q66">
        <v>0.73356401384083048</v>
      </c>
      <c r="R66" t="s">
        <v>40</v>
      </c>
      <c r="S66">
        <v>22.335891339622641</v>
      </c>
      <c r="T66">
        <v>9.9986161084970937E-2</v>
      </c>
      <c r="U66" t="s">
        <v>34</v>
      </c>
      <c r="V66">
        <v>0</v>
      </c>
    </row>
    <row r="67" spans="1:22" x14ac:dyDescent="0.3">
      <c r="A67" s="1">
        <v>44000</v>
      </c>
      <c r="B67" t="s">
        <v>30</v>
      </c>
      <c r="C67" t="s">
        <v>41</v>
      </c>
      <c r="D67" t="s">
        <v>32</v>
      </c>
      <c r="E67" t="s">
        <v>45</v>
      </c>
      <c r="F67" t="s">
        <v>26</v>
      </c>
      <c r="G67">
        <v>781</v>
      </c>
      <c r="H67">
        <v>187</v>
      </c>
      <c r="I67">
        <v>13544.208619999999</v>
      </c>
      <c r="J67" t="b">
        <v>1</v>
      </c>
      <c r="K67">
        <v>9</v>
      </c>
      <c r="L67" t="b">
        <v>0</v>
      </c>
      <c r="M67">
        <v>106400.8806</v>
      </c>
      <c r="N67">
        <v>2225</v>
      </c>
      <c r="O67">
        <v>9750</v>
      </c>
      <c r="P67" t="s">
        <v>36</v>
      </c>
      <c r="Q67">
        <v>0.35101123595505618</v>
      </c>
      <c r="R67" t="s">
        <v>28</v>
      </c>
      <c r="S67">
        <v>17.342136517285532</v>
      </c>
      <c r="T67">
        <v>0.2282051282051282</v>
      </c>
      <c r="U67" t="s">
        <v>34</v>
      </c>
      <c r="V67">
        <v>0</v>
      </c>
    </row>
    <row r="68" spans="1:22" x14ac:dyDescent="0.3">
      <c r="A68" s="1">
        <v>44001</v>
      </c>
      <c r="B68" t="s">
        <v>30</v>
      </c>
      <c r="C68" t="s">
        <v>41</v>
      </c>
      <c r="D68" t="s">
        <v>46</v>
      </c>
      <c r="E68" t="s">
        <v>45</v>
      </c>
      <c r="F68" t="s">
        <v>43</v>
      </c>
      <c r="G68">
        <v>517</v>
      </c>
      <c r="H68">
        <v>4263</v>
      </c>
      <c r="I68">
        <v>12369.601839999999</v>
      </c>
      <c r="J68" t="b">
        <v>1</v>
      </c>
      <c r="K68">
        <v>1</v>
      </c>
      <c r="L68" t="b">
        <v>0</v>
      </c>
      <c r="M68">
        <v>29422.42699</v>
      </c>
      <c r="N68">
        <v>3872.5</v>
      </c>
      <c r="O68">
        <v>9270</v>
      </c>
      <c r="P68" t="s">
        <v>27</v>
      </c>
      <c r="Q68">
        <v>0.13350548741123305</v>
      </c>
      <c r="R68" t="s">
        <v>40</v>
      </c>
      <c r="S68">
        <v>23.925728897485492</v>
      </c>
      <c r="T68">
        <v>0.41774541531823084</v>
      </c>
      <c r="U68" t="s">
        <v>29</v>
      </c>
      <c r="V68">
        <v>0</v>
      </c>
    </row>
    <row r="69" spans="1:22" x14ac:dyDescent="0.3">
      <c r="A69" s="1">
        <v>44002</v>
      </c>
      <c r="B69" t="s">
        <v>38</v>
      </c>
      <c r="C69" t="s">
        <v>44</v>
      </c>
      <c r="D69" t="s">
        <v>32</v>
      </c>
      <c r="E69" t="s">
        <v>33</v>
      </c>
      <c r="F69" t="s">
        <v>43</v>
      </c>
      <c r="G69">
        <v>281</v>
      </c>
      <c r="H69">
        <v>3482</v>
      </c>
      <c r="I69">
        <v>4246.6933939999999</v>
      </c>
      <c r="J69" t="b">
        <v>0</v>
      </c>
      <c r="K69">
        <v>7</v>
      </c>
      <c r="L69" t="b">
        <v>1</v>
      </c>
      <c r="M69">
        <v>15548.20658</v>
      </c>
      <c r="N69">
        <v>3153.5</v>
      </c>
      <c r="O69">
        <v>9908</v>
      </c>
      <c r="P69" t="s">
        <v>27</v>
      </c>
      <c r="Q69">
        <v>8.9107341049627392E-2</v>
      </c>
      <c r="R69" t="s">
        <v>40</v>
      </c>
      <c r="S69">
        <v>15.112787879003559</v>
      </c>
      <c r="T69">
        <v>0.31827815906338314</v>
      </c>
      <c r="U69" t="s">
        <v>34</v>
      </c>
      <c r="V69">
        <v>1</v>
      </c>
    </row>
    <row r="70" spans="1:22" x14ac:dyDescent="0.3">
      <c r="A70" s="1">
        <v>44003</v>
      </c>
      <c r="B70" t="s">
        <v>38</v>
      </c>
      <c r="C70" t="s">
        <v>44</v>
      </c>
      <c r="D70" t="s">
        <v>32</v>
      </c>
      <c r="E70" t="s">
        <v>45</v>
      </c>
      <c r="F70" t="s">
        <v>39</v>
      </c>
      <c r="G70">
        <v>186</v>
      </c>
      <c r="H70">
        <v>2825</v>
      </c>
      <c r="I70">
        <v>7383.4563429999998</v>
      </c>
      <c r="J70" t="b">
        <v>1</v>
      </c>
      <c r="K70">
        <v>1</v>
      </c>
      <c r="L70" t="b">
        <v>0</v>
      </c>
      <c r="M70">
        <v>31065.378349999999</v>
      </c>
      <c r="N70">
        <v>1664</v>
      </c>
      <c r="O70">
        <v>8797</v>
      </c>
      <c r="P70" t="s">
        <v>27</v>
      </c>
      <c r="Q70">
        <v>0.11177884615384616</v>
      </c>
      <c r="R70" t="s">
        <v>40</v>
      </c>
      <c r="S70">
        <v>39.69600184408602</v>
      </c>
      <c r="T70">
        <v>0.18915539388427874</v>
      </c>
      <c r="U70" t="s">
        <v>34</v>
      </c>
      <c r="V70">
        <v>0</v>
      </c>
    </row>
    <row r="71" spans="1:22" x14ac:dyDescent="0.3">
      <c r="A71" s="1">
        <v>44004</v>
      </c>
      <c r="B71" t="s">
        <v>38</v>
      </c>
      <c r="C71" t="s">
        <v>23</v>
      </c>
      <c r="D71" t="s">
        <v>32</v>
      </c>
      <c r="E71" t="s">
        <v>45</v>
      </c>
      <c r="F71" t="s">
        <v>26</v>
      </c>
      <c r="G71">
        <v>160</v>
      </c>
      <c r="H71">
        <v>503</v>
      </c>
      <c r="I71">
        <v>8041.955293</v>
      </c>
      <c r="J71" t="b">
        <v>1</v>
      </c>
      <c r="K71">
        <v>21</v>
      </c>
      <c r="L71" t="b">
        <v>0</v>
      </c>
      <c r="M71">
        <v>15654.48396</v>
      </c>
      <c r="N71">
        <v>1976.5</v>
      </c>
      <c r="O71">
        <v>8246</v>
      </c>
      <c r="P71" t="s">
        <v>36</v>
      </c>
      <c r="Q71">
        <v>8.0951176321780921E-2</v>
      </c>
      <c r="R71" t="s">
        <v>37</v>
      </c>
      <c r="S71">
        <v>50.262220581249998</v>
      </c>
      <c r="T71">
        <v>0.23969197186514674</v>
      </c>
      <c r="U71" t="s">
        <v>34</v>
      </c>
      <c r="V71">
        <v>0</v>
      </c>
    </row>
    <row r="72" spans="1:22" x14ac:dyDescent="0.3">
      <c r="A72" s="1">
        <v>44005</v>
      </c>
      <c r="B72" t="s">
        <v>38</v>
      </c>
      <c r="C72" t="s">
        <v>44</v>
      </c>
      <c r="D72" t="s">
        <v>46</v>
      </c>
      <c r="E72" t="s">
        <v>25</v>
      </c>
      <c r="F72" t="s">
        <v>43</v>
      </c>
      <c r="G72">
        <v>721</v>
      </c>
      <c r="H72">
        <v>3450</v>
      </c>
      <c r="I72">
        <v>3578.023972</v>
      </c>
      <c r="J72" t="b">
        <v>1</v>
      </c>
      <c r="K72">
        <v>24</v>
      </c>
      <c r="L72" t="b">
        <v>0</v>
      </c>
      <c r="M72">
        <v>101751.2752</v>
      </c>
      <c r="N72">
        <v>3390</v>
      </c>
      <c r="O72">
        <v>5088</v>
      </c>
      <c r="P72" t="s">
        <v>27</v>
      </c>
      <c r="Q72">
        <v>0.2126843657817109</v>
      </c>
      <c r="R72" t="s">
        <v>37</v>
      </c>
      <c r="S72">
        <v>4.9625852593619975</v>
      </c>
      <c r="T72">
        <v>0.66627358490566035</v>
      </c>
      <c r="U72" t="s">
        <v>29</v>
      </c>
      <c r="V72">
        <v>0</v>
      </c>
    </row>
    <row r="73" spans="1:22" x14ac:dyDescent="0.3">
      <c r="A73" s="1">
        <v>44006</v>
      </c>
      <c r="B73" t="s">
        <v>38</v>
      </c>
      <c r="C73" t="s">
        <v>31</v>
      </c>
      <c r="D73" t="s">
        <v>32</v>
      </c>
      <c r="E73" t="s">
        <v>33</v>
      </c>
      <c r="F73" t="s">
        <v>43</v>
      </c>
      <c r="G73">
        <v>204</v>
      </c>
      <c r="H73">
        <v>3330</v>
      </c>
      <c r="I73">
        <v>14194.723470000001</v>
      </c>
      <c r="J73" t="b">
        <v>1</v>
      </c>
      <c r="K73">
        <v>4</v>
      </c>
      <c r="L73" t="b">
        <v>0</v>
      </c>
      <c r="M73">
        <v>8340.1584550000007</v>
      </c>
      <c r="N73">
        <v>2301.5</v>
      </c>
      <c r="O73">
        <v>8804</v>
      </c>
      <c r="P73" t="s">
        <v>27</v>
      </c>
      <c r="Q73">
        <v>8.8637844883771452E-2</v>
      </c>
      <c r="R73" t="s">
        <v>40</v>
      </c>
      <c r="S73">
        <v>69.581977794117648</v>
      </c>
      <c r="T73">
        <v>0.26141526578827806</v>
      </c>
      <c r="U73" t="s">
        <v>34</v>
      </c>
      <c r="V73">
        <v>0</v>
      </c>
    </row>
    <row r="74" spans="1:22" x14ac:dyDescent="0.3">
      <c r="A74" s="1">
        <v>44007</v>
      </c>
      <c r="B74" t="s">
        <v>38</v>
      </c>
      <c r="C74" t="s">
        <v>31</v>
      </c>
      <c r="D74" t="s">
        <v>46</v>
      </c>
      <c r="E74" t="s">
        <v>33</v>
      </c>
      <c r="F74" t="s">
        <v>26</v>
      </c>
      <c r="G74">
        <v>105</v>
      </c>
      <c r="H74">
        <v>1273</v>
      </c>
      <c r="I74">
        <v>8485.0121259999996</v>
      </c>
      <c r="J74" t="b">
        <v>1</v>
      </c>
      <c r="K74">
        <v>2</v>
      </c>
      <c r="L74" t="b">
        <v>0</v>
      </c>
      <c r="M74">
        <v>10800.373680000001</v>
      </c>
      <c r="N74">
        <v>2069</v>
      </c>
      <c r="O74">
        <v>6647</v>
      </c>
      <c r="P74" t="s">
        <v>36</v>
      </c>
      <c r="Q74">
        <v>5.0749154180763652E-2</v>
      </c>
      <c r="R74" t="s">
        <v>40</v>
      </c>
      <c r="S74">
        <v>80.809639295238085</v>
      </c>
      <c r="T74">
        <v>0.31126824131187003</v>
      </c>
      <c r="U74" t="s">
        <v>34</v>
      </c>
      <c r="V74">
        <v>0</v>
      </c>
    </row>
    <row r="75" spans="1:22" x14ac:dyDescent="0.3">
      <c r="A75" s="1">
        <v>44008</v>
      </c>
      <c r="B75" t="s">
        <v>42</v>
      </c>
      <c r="C75" t="s">
        <v>44</v>
      </c>
      <c r="D75" t="s">
        <v>46</v>
      </c>
      <c r="E75" t="s">
        <v>33</v>
      </c>
      <c r="F75" t="s">
        <v>26</v>
      </c>
      <c r="G75">
        <v>228</v>
      </c>
      <c r="H75">
        <v>2865</v>
      </c>
      <c r="I75">
        <v>6972.1414020000002</v>
      </c>
      <c r="J75" t="b">
        <v>1</v>
      </c>
      <c r="K75">
        <v>20</v>
      </c>
      <c r="L75" t="b">
        <v>0</v>
      </c>
      <c r="M75">
        <v>21437.912909999999</v>
      </c>
      <c r="N75">
        <v>2603</v>
      </c>
      <c r="O75">
        <v>7818</v>
      </c>
      <c r="P75" t="s">
        <v>27</v>
      </c>
      <c r="Q75">
        <v>8.7591240875912413E-2</v>
      </c>
      <c r="R75" t="s">
        <v>37</v>
      </c>
      <c r="S75">
        <v>30.57956755263158</v>
      </c>
      <c r="T75">
        <v>0.3329496034791507</v>
      </c>
      <c r="U75" t="s">
        <v>34</v>
      </c>
      <c r="V75">
        <v>0</v>
      </c>
    </row>
    <row r="76" spans="1:22" x14ac:dyDescent="0.3">
      <c r="A76" s="1">
        <v>44009</v>
      </c>
      <c r="B76" t="s">
        <v>42</v>
      </c>
      <c r="C76" t="s">
        <v>41</v>
      </c>
      <c r="D76" t="s">
        <v>24</v>
      </c>
      <c r="E76" t="s">
        <v>33</v>
      </c>
      <c r="F76" t="s">
        <v>26</v>
      </c>
      <c r="G76">
        <v>141</v>
      </c>
      <c r="H76">
        <v>2341</v>
      </c>
      <c r="I76">
        <v>13577.68879</v>
      </c>
      <c r="J76" t="b">
        <v>1</v>
      </c>
      <c r="K76">
        <v>1</v>
      </c>
      <c r="L76" t="b">
        <v>0</v>
      </c>
      <c r="M76">
        <v>16950.790110000002</v>
      </c>
      <c r="N76">
        <v>2962</v>
      </c>
      <c r="O76">
        <v>7316</v>
      </c>
      <c r="P76" t="s">
        <v>36</v>
      </c>
      <c r="Q76">
        <v>4.7602970965563811E-2</v>
      </c>
      <c r="R76" t="s">
        <v>40</v>
      </c>
      <c r="S76">
        <v>96.295665177304969</v>
      </c>
      <c r="T76">
        <v>0.40486604702022966</v>
      </c>
      <c r="U76" t="s">
        <v>29</v>
      </c>
      <c r="V76">
        <v>0</v>
      </c>
    </row>
    <row r="77" spans="1:22" x14ac:dyDescent="0.3">
      <c r="A77" s="1">
        <v>44010</v>
      </c>
      <c r="B77" t="s">
        <v>38</v>
      </c>
      <c r="C77" t="s">
        <v>31</v>
      </c>
      <c r="D77" t="s">
        <v>35</v>
      </c>
      <c r="E77" t="s">
        <v>33</v>
      </c>
      <c r="F77" t="s">
        <v>26</v>
      </c>
      <c r="G77">
        <v>490</v>
      </c>
      <c r="H77">
        <v>3583</v>
      </c>
      <c r="I77">
        <v>11652.06228</v>
      </c>
      <c r="J77" t="b">
        <v>1</v>
      </c>
      <c r="K77">
        <v>27</v>
      </c>
      <c r="L77" t="b">
        <v>0</v>
      </c>
      <c r="M77">
        <v>54851.857089999998</v>
      </c>
      <c r="N77">
        <v>3611</v>
      </c>
      <c r="O77">
        <v>8902</v>
      </c>
      <c r="P77" t="s">
        <v>36</v>
      </c>
      <c r="Q77">
        <v>0.13569648296870673</v>
      </c>
      <c r="R77" t="s">
        <v>37</v>
      </c>
      <c r="S77">
        <v>23.77971893877551</v>
      </c>
      <c r="T77">
        <v>0.40563918220624579</v>
      </c>
      <c r="U77" t="s">
        <v>29</v>
      </c>
      <c r="V77">
        <v>0</v>
      </c>
    </row>
    <row r="78" spans="1:22" x14ac:dyDescent="0.3">
      <c r="A78" s="1">
        <v>44011</v>
      </c>
      <c r="B78" t="s">
        <v>30</v>
      </c>
      <c r="C78" t="s">
        <v>23</v>
      </c>
      <c r="D78" t="s">
        <v>32</v>
      </c>
      <c r="E78" t="s">
        <v>33</v>
      </c>
      <c r="F78" t="s">
        <v>26</v>
      </c>
      <c r="G78">
        <v>368</v>
      </c>
      <c r="H78">
        <v>3639</v>
      </c>
      <c r="I78">
        <v>922.29488230000004</v>
      </c>
      <c r="J78" t="b">
        <v>1</v>
      </c>
      <c r="K78">
        <v>29</v>
      </c>
      <c r="L78" t="b">
        <v>0</v>
      </c>
      <c r="M78">
        <v>57934.378089999998</v>
      </c>
      <c r="N78">
        <v>2383</v>
      </c>
      <c r="O78">
        <v>6655</v>
      </c>
      <c r="P78" t="s">
        <v>27</v>
      </c>
      <c r="Q78">
        <v>0.15442719261435164</v>
      </c>
      <c r="R78" t="s">
        <v>37</v>
      </c>
      <c r="S78">
        <v>2.506236093206522</v>
      </c>
      <c r="T78">
        <v>0.35807663410969198</v>
      </c>
      <c r="U78" t="s">
        <v>34</v>
      </c>
      <c r="V78">
        <v>0</v>
      </c>
    </row>
    <row r="79" spans="1:22" x14ac:dyDescent="0.3">
      <c r="A79" s="1">
        <v>44012</v>
      </c>
      <c r="B79" t="s">
        <v>30</v>
      </c>
      <c r="C79" t="s">
        <v>44</v>
      </c>
      <c r="D79" t="s">
        <v>32</v>
      </c>
      <c r="E79" t="s">
        <v>45</v>
      </c>
      <c r="F79" t="s">
        <v>39</v>
      </c>
      <c r="G79">
        <v>493</v>
      </c>
      <c r="H79">
        <v>1127</v>
      </c>
      <c r="I79">
        <v>13681.406870000001</v>
      </c>
      <c r="J79" t="b">
        <v>1</v>
      </c>
      <c r="K79">
        <v>21</v>
      </c>
      <c r="L79" t="b">
        <v>0</v>
      </c>
      <c r="M79">
        <v>19145.558990000001</v>
      </c>
      <c r="N79">
        <v>1716</v>
      </c>
      <c r="O79">
        <v>5198</v>
      </c>
      <c r="P79" t="s">
        <v>36</v>
      </c>
      <c r="Q79">
        <v>0.28729603729603731</v>
      </c>
      <c r="R79" t="s">
        <v>37</v>
      </c>
      <c r="S79">
        <v>27.751332393509131</v>
      </c>
      <c r="T79">
        <v>0.33012697191227397</v>
      </c>
      <c r="U79" t="s">
        <v>34</v>
      </c>
      <c r="V79">
        <v>0</v>
      </c>
    </row>
    <row r="80" spans="1:22" x14ac:dyDescent="0.3">
      <c r="A80" s="1">
        <v>44013</v>
      </c>
      <c r="B80" t="s">
        <v>30</v>
      </c>
      <c r="C80" t="s">
        <v>44</v>
      </c>
      <c r="D80" t="s">
        <v>24</v>
      </c>
      <c r="E80" t="s">
        <v>25</v>
      </c>
      <c r="F80" t="s">
        <v>26</v>
      </c>
      <c r="G80">
        <v>364</v>
      </c>
      <c r="H80">
        <v>2305</v>
      </c>
      <c r="I80">
        <v>6159.7237990000003</v>
      </c>
      <c r="J80" t="b">
        <v>1</v>
      </c>
      <c r="K80">
        <v>8</v>
      </c>
      <c r="L80" t="b">
        <v>0</v>
      </c>
      <c r="M80">
        <v>26091.38895</v>
      </c>
      <c r="N80">
        <v>3104</v>
      </c>
      <c r="O80">
        <v>5034</v>
      </c>
      <c r="P80" t="s">
        <v>36</v>
      </c>
      <c r="Q80">
        <v>0.1172680412371134</v>
      </c>
      <c r="R80" t="s">
        <v>28</v>
      </c>
      <c r="S80">
        <v>16.922318129120882</v>
      </c>
      <c r="T80">
        <v>0.61660707191100517</v>
      </c>
      <c r="U80" t="s">
        <v>29</v>
      </c>
      <c r="V80">
        <v>0</v>
      </c>
    </row>
    <row r="81" spans="1:22" x14ac:dyDescent="0.3">
      <c r="A81" s="1">
        <v>44014</v>
      </c>
      <c r="B81" t="s">
        <v>38</v>
      </c>
      <c r="C81" t="s">
        <v>31</v>
      </c>
      <c r="D81" t="s">
        <v>35</v>
      </c>
      <c r="E81" t="s">
        <v>33</v>
      </c>
      <c r="F81" t="s">
        <v>26</v>
      </c>
      <c r="G81">
        <v>707</v>
      </c>
      <c r="H81">
        <v>3903</v>
      </c>
      <c r="I81">
        <v>7501.7387449999997</v>
      </c>
      <c r="J81" t="b">
        <v>0</v>
      </c>
      <c r="K81">
        <v>17</v>
      </c>
      <c r="L81" t="b">
        <v>0</v>
      </c>
      <c r="M81">
        <v>71317.386169999998</v>
      </c>
      <c r="N81">
        <v>3219.5</v>
      </c>
      <c r="O81">
        <v>7941</v>
      </c>
      <c r="P81" t="s">
        <v>27</v>
      </c>
      <c r="Q81">
        <v>0.21959931666407828</v>
      </c>
      <c r="R81" t="s">
        <v>37</v>
      </c>
      <c r="S81">
        <v>10.610663005657708</v>
      </c>
      <c r="T81">
        <v>0.40542752801914117</v>
      </c>
      <c r="U81" t="s">
        <v>29</v>
      </c>
      <c r="V81">
        <v>0</v>
      </c>
    </row>
    <row r="82" spans="1:22" x14ac:dyDescent="0.3">
      <c r="A82" s="1">
        <v>44015</v>
      </c>
      <c r="B82" t="s">
        <v>38</v>
      </c>
      <c r="C82" t="s">
        <v>31</v>
      </c>
      <c r="D82" t="s">
        <v>35</v>
      </c>
      <c r="E82" t="s">
        <v>33</v>
      </c>
      <c r="F82" t="s">
        <v>26</v>
      </c>
      <c r="G82">
        <v>845</v>
      </c>
      <c r="H82">
        <v>2536</v>
      </c>
      <c r="I82">
        <v>9435.489415</v>
      </c>
      <c r="J82" t="b">
        <v>1</v>
      </c>
      <c r="K82">
        <v>8</v>
      </c>
      <c r="L82" t="b">
        <v>0</v>
      </c>
      <c r="M82">
        <v>32790.341139999997</v>
      </c>
      <c r="N82">
        <v>3662.5</v>
      </c>
      <c r="O82">
        <v>8321</v>
      </c>
      <c r="P82" t="s">
        <v>36</v>
      </c>
      <c r="Q82">
        <v>0.23071672354948805</v>
      </c>
      <c r="R82" t="s">
        <v>28</v>
      </c>
      <c r="S82">
        <v>11.166259662721894</v>
      </c>
      <c r="T82">
        <v>0.44015142410767938</v>
      </c>
      <c r="U82" t="s">
        <v>29</v>
      </c>
      <c r="V82">
        <v>0</v>
      </c>
    </row>
    <row r="83" spans="1:22" x14ac:dyDescent="0.3">
      <c r="A83" s="1">
        <v>44016</v>
      </c>
      <c r="B83" t="s">
        <v>22</v>
      </c>
      <c r="C83" t="s">
        <v>31</v>
      </c>
      <c r="D83" t="s">
        <v>32</v>
      </c>
      <c r="E83" t="s">
        <v>45</v>
      </c>
      <c r="F83" t="s">
        <v>26</v>
      </c>
      <c r="G83">
        <v>895</v>
      </c>
      <c r="H83">
        <v>4789</v>
      </c>
      <c r="I83">
        <v>10579.23733</v>
      </c>
      <c r="J83" t="b">
        <v>0</v>
      </c>
      <c r="K83">
        <v>29</v>
      </c>
      <c r="L83" t="b">
        <v>0</v>
      </c>
      <c r="M83">
        <v>156015.51240000001</v>
      </c>
      <c r="N83">
        <v>3741.5</v>
      </c>
      <c r="O83">
        <v>5059</v>
      </c>
      <c r="P83" t="s">
        <v>27</v>
      </c>
      <c r="Q83">
        <v>0.23920887344647868</v>
      </c>
      <c r="R83" t="s">
        <v>37</v>
      </c>
      <c r="S83">
        <v>11.820376905027933</v>
      </c>
      <c r="T83">
        <v>0.739573038149832</v>
      </c>
      <c r="U83" t="s">
        <v>29</v>
      </c>
      <c r="V83">
        <v>0</v>
      </c>
    </row>
    <row r="84" spans="1:22" x14ac:dyDescent="0.3">
      <c r="A84" s="1">
        <v>44017</v>
      </c>
      <c r="B84" t="s">
        <v>22</v>
      </c>
      <c r="C84" t="s">
        <v>41</v>
      </c>
      <c r="D84" t="s">
        <v>24</v>
      </c>
      <c r="E84" t="s">
        <v>45</v>
      </c>
      <c r="F84" t="s">
        <v>26</v>
      </c>
      <c r="G84">
        <v>604</v>
      </c>
      <c r="H84">
        <v>2694</v>
      </c>
      <c r="I84">
        <v>3069.6183249999999</v>
      </c>
      <c r="J84" t="b">
        <v>1</v>
      </c>
      <c r="K84">
        <v>20</v>
      </c>
      <c r="L84" t="b">
        <v>0</v>
      </c>
      <c r="M84">
        <v>65705.432879999993</v>
      </c>
      <c r="N84">
        <v>2036</v>
      </c>
      <c r="O84">
        <v>5434</v>
      </c>
      <c r="P84" t="s">
        <v>27</v>
      </c>
      <c r="Q84">
        <v>0.29666011787819252</v>
      </c>
      <c r="R84" t="s">
        <v>37</v>
      </c>
      <c r="S84">
        <v>5.0821495447019869</v>
      </c>
      <c r="T84">
        <v>0.37467795362532202</v>
      </c>
      <c r="U84" t="s">
        <v>34</v>
      </c>
      <c r="V84">
        <v>0</v>
      </c>
    </row>
    <row r="85" spans="1:22" x14ac:dyDescent="0.3">
      <c r="A85" s="1">
        <v>44018</v>
      </c>
      <c r="B85" t="s">
        <v>30</v>
      </c>
      <c r="C85" t="s">
        <v>44</v>
      </c>
      <c r="D85" t="s">
        <v>35</v>
      </c>
      <c r="E85" t="s">
        <v>25</v>
      </c>
      <c r="F85" t="s">
        <v>39</v>
      </c>
      <c r="G85">
        <v>190</v>
      </c>
      <c r="H85">
        <v>1378</v>
      </c>
      <c r="I85">
        <v>5665.6234720000002</v>
      </c>
      <c r="J85" t="b">
        <v>1</v>
      </c>
      <c r="K85">
        <v>4</v>
      </c>
      <c r="L85" t="b">
        <v>0</v>
      </c>
      <c r="M85">
        <v>28148.79219</v>
      </c>
      <c r="N85">
        <v>1760</v>
      </c>
      <c r="O85">
        <v>5565</v>
      </c>
      <c r="P85" t="s">
        <v>36</v>
      </c>
      <c r="Q85">
        <v>0.10795454545454546</v>
      </c>
      <c r="R85" t="s">
        <v>40</v>
      </c>
      <c r="S85">
        <v>29.81907090526316</v>
      </c>
      <c r="T85">
        <v>0.31626235399820307</v>
      </c>
      <c r="U85" t="s">
        <v>34</v>
      </c>
      <c r="V85">
        <v>0</v>
      </c>
    </row>
    <row r="86" spans="1:22" x14ac:dyDescent="0.3">
      <c r="A86" s="1">
        <v>44019</v>
      </c>
      <c r="B86" t="s">
        <v>30</v>
      </c>
      <c r="C86" t="s">
        <v>41</v>
      </c>
      <c r="D86" t="s">
        <v>24</v>
      </c>
      <c r="E86" t="s">
        <v>25</v>
      </c>
      <c r="F86" t="s">
        <v>26</v>
      </c>
      <c r="G86">
        <v>239</v>
      </c>
      <c r="H86">
        <v>2142</v>
      </c>
      <c r="I86">
        <v>4123.3702929999999</v>
      </c>
      <c r="J86" t="b">
        <v>1</v>
      </c>
      <c r="K86">
        <v>12</v>
      </c>
      <c r="L86" t="b">
        <v>0</v>
      </c>
      <c r="M86">
        <v>46901.028019999998</v>
      </c>
      <c r="N86">
        <v>2341</v>
      </c>
      <c r="O86">
        <v>9302</v>
      </c>
      <c r="P86" t="s">
        <v>36</v>
      </c>
      <c r="Q86">
        <v>0.10209312259718069</v>
      </c>
      <c r="R86" t="s">
        <v>28</v>
      </c>
      <c r="S86">
        <v>17.252595368200836</v>
      </c>
      <c r="T86">
        <v>0.25166630832079123</v>
      </c>
      <c r="U86" t="s">
        <v>34</v>
      </c>
      <c r="V86">
        <v>0</v>
      </c>
    </row>
    <row r="87" spans="1:22" x14ac:dyDescent="0.3">
      <c r="A87" s="1">
        <v>44020</v>
      </c>
      <c r="B87" t="s">
        <v>30</v>
      </c>
      <c r="C87" t="s">
        <v>31</v>
      </c>
      <c r="D87" t="s">
        <v>32</v>
      </c>
      <c r="E87" t="s">
        <v>33</v>
      </c>
      <c r="F87" t="s">
        <v>26</v>
      </c>
      <c r="G87">
        <v>579</v>
      </c>
      <c r="H87">
        <v>2540</v>
      </c>
      <c r="I87">
        <v>4661.3085920000003</v>
      </c>
      <c r="J87" t="b">
        <v>1</v>
      </c>
      <c r="K87">
        <v>26</v>
      </c>
      <c r="L87" t="b">
        <v>0</v>
      </c>
      <c r="M87">
        <v>81933.358980000005</v>
      </c>
      <c r="N87">
        <v>2032.5</v>
      </c>
      <c r="O87">
        <v>6389</v>
      </c>
      <c r="P87" t="s">
        <v>27</v>
      </c>
      <c r="Q87">
        <v>0.28487084870848711</v>
      </c>
      <c r="R87" t="s">
        <v>37</v>
      </c>
      <c r="S87">
        <v>8.0506193298791029</v>
      </c>
      <c r="T87">
        <v>0.31812490217561434</v>
      </c>
      <c r="U87" t="s">
        <v>34</v>
      </c>
      <c r="V87">
        <v>0</v>
      </c>
    </row>
    <row r="88" spans="1:22" x14ac:dyDescent="0.3">
      <c r="A88" s="1">
        <v>44021</v>
      </c>
      <c r="B88" t="s">
        <v>30</v>
      </c>
      <c r="C88" t="s">
        <v>41</v>
      </c>
      <c r="D88" t="s">
        <v>32</v>
      </c>
      <c r="E88" t="s">
        <v>25</v>
      </c>
      <c r="F88" t="s">
        <v>39</v>
      </c>
      <c r="G88">
        <v>74</v>
      </c>
      <c r="H88">
        <v>1525</v>
      </c>
      <c r="I88">
        <v>10925.781929999999</v>
      </c>
      <c r="J88" t="b">
        <v>1</v>
      </c>
      <c r="K88">
        <v>14</v>
      </c>
      <c r="L88" t="b">
        <v>0</v>
      </c>
      <c r="M88">
        <v>10497.63474</v>
      </c>
      <c r="N88">
        <v>1707</v>
      </c>
      <c r="O88">
        <v>9605</v>
      </c>
      <c r="P88" t="s">
        <v>36</v>
      </c>
      <c r="Q88">
        <v>4.3350908025776215E-2</v>
      </c>
      <c r="R88" t="s">
        <v>28</v>
      </c>
      <c r="S88">
        <v>147.64570175675675</v>
      </c>
      <c r="T88">
        <v>0.17771993753253515</v>
      </c>
      <c r="U88" t="s">
        <v>34</v>
      </c>
      <c r="V88">
        <v>0</v>
      </c>
    </row>
    <row r="89" spans="1:22" x14ac:dyDescent="0.3">
      <c r="A89" s="1">
        <v>44022</v>
      </c>
      <c r="B89" t="s">
        <v>42</v>
      </c>
      <c r="C89" t="s">
        <v>31</v>
      </c>
      <c r="D89" t="s">
        <v>24</v>
      </c>
      <c r="E89" t="s">
        <v>25</v>
      </c>
      <c r="F89" t="s">
        <v>43</v>
      </c>
      <c r="G89">
        <v>476</v>
      </c>
      <c r="H89">
        <v>1889</v>
      </c>
      <c r="I89">
        <v>5425.5429679999997</v>
      </c>
      <c r="J89" t="b">
        <v>1</v>
      </c>
      <c r="K89">
        <v>9</v>
      </c>
      <c r="L89" t="b">
        <v>0</v>
      </c>
      <c r="M89">
        <v>20858.082050000001</v>
      </c>
      <c r="N89">
        <v>1745.5</v>
      </c>
      <c r="O89">
        <v>5604</v>
      </c>
      <c r="P89" t="s">
        <v>27</v>
      </c>
      <c r="Q89">
        <v>0.27270123173875682</v>
      </c>
      <c r="R89" t="s">
        <v>28</v>
      </c>
      <c r="S89">
        <v>11.398199512605041</v>
      </c>
      <c r="T89">
        <v>0.3114739471805853</v>
      </c>
      <c r="U89" t="s">
        <v>34</v>
      </c>
      <c r="V89">
        <v>0</v>
      </c>
    </row>
    <row r="90" spans="1:22" x14ac:dyDescent="0.3">
      <c r="A90" s="1">
        <v>44023</v>
      </c>
      <c r="B90" t="s">
        <v>22</v>
      </c>
      <c r="C90" t="s">
        <v>23</v>
      </c>
      <c r="D90" t="s">
        <v>24</v>
      </c>
      <c r="E90" t="s">
        <v>33</v>
      </c>
      <c r="F90" t="s">
        <v>26</v>
      </c>
      <c r="G90">
        <v>183</v>
      </c>
      <c r="H90">
        <v>1602</v>
      </c>
      <c r="I90">
        <v>6845.8713889999999</v>
      </c>
      <c r="J90" t="b">
        <v>1</v>
      </c>
      <c r="K90">
        <v>5</v>
      </c>
      <c r="L90" t="b">
        <v>0</v>
      </c>
      <c r="M90">
        <v>6860.6046239999996</v>
      </c>
      <c r="N90">
        <v>2285.5</v>
      </c>
      <c r="O90">
        <v>9046</v>
      </c>
      <c r="P90" t="s">
        <v>36</v>
      </c>
      <c r="Q90">
        <v>8.007000656311529E-2</v>
      </c>
      <c r="R90" t="s">
        <v>40</v>
      </c>
      <c r="S90">
        <v>37.409133273224043</v>
      </c>
      <c r="T90">
        <v>0.25265310634534599</v>
      </c>
      <c r="U90" t="s">
        <v>34</v>
      </c>
      <c r="V90">
        <v>0</v>
      </c>
    </row>
    <row r="91" spans="1:22" x14ac:dyDescent="0.3">
      <c r="A91" s="1">
        <v>44024</v>
      </c>
      <c r="B91" t="s">
        <v>22</v>
      </c>
      <c r="C91" t="s">
        <v>44</v>
      </c>
      <c r="D91" t="s">
        <v>46</v>
      </c>
      <c r="E91" t="s">
        <v>45</v>
      </c>
      <c r="F91" t="s">
        <v>26</v>
      </c>
      <c r="G91">
        <v>220</v>
      </c>
      <c r="H91">
        <v>2969</v>
      </c>
      <c r="I91">
        <v>7776.3954450000001</v>
      </c>
      <c r="J91" t="b">
        <v>1</v>
      </c>
      <c r="K91">
        <v>8</v>
      </c>
      <c r="L91" t="b">
        <v>0</v>
      </c>
      <c r="M91">
        <v>26181.53414</v>
      </c>
      <c r="N91">
        <v>2338</v>
      </c>
      <c r="O91">
        <v>8825</v>
      </c>
      <c r="P91" t="s">
        <v>27</v>
      </c>
      <c r="Q91">
        <v>9.4097519247219846E-2</v>
      </c>
      <c r="R91" t="s">
        <v>28</v>
      </c>
      <c r="S91">
        <v>35.347252022727275</v>
      </c>
      <c r="T91">
        <v>0.26492917847025493</v>
      </c>
      <c r="U91" t="s">
        <v>34</v>
      </c>
      <c r="V91">
        <v>0</v>
      </c>
    </row>
    <row r="92" spans="1:22" x14ac:dyDescent="0.3">
      <c r="A92" s="1">
        <v>44025</v>
      </c>
      <c r="B92" t="s">
        <v>30</v>
      </c>
      <c r="C92" t="s">
        <v>31</v>
      </c>
      <c r="D92" t="s">
        <v>24</v>
      </c>
      <c r="E92" t="s">
        <v>45</v>
      </c>
      <c r="F92" t="s">
        <v>26</v>
      </c>
      <c r="G92">
        <v>840</v>
      </c>
      <c r="H92">
        <v>1707</v>
      </c>
      <c r="I92">
        <v>13170.023010000001</v>
      </c>
      <c r="J92" t="b">
        <v>1</v>
      </c>
      <c r="K92">
        <v>7</v>
      </c>
      <c r="L92" t="b">
        <v>1</v>
      </c>
      <c r="M92">
        <v>95831.826409999994</v>
      </c>
      <c r="N92">
        <v>2141</v>
      </c>
      <c r="O92">
        <v>7963</v>
      </c>
      <c r="P92" t="s">
        <v>36</v>
      </c>
      <c r="Q92">
        <v>0.39234002802428769</v>
      </c>
      <c r="R92" t="s">
        <v>40</v>
      </c>
      <c r="S92">
        <v>15.678598821428572</v>
      </c>
      <c r="T92">
        <v>0.26886851689061914</v>
      </c>
      <c r="U92" t="s">
        <v>34</v>
      </c>
      <c r="V92">
        <v>1</v>
      </c>
    </row>
    <row r="93" spans="1:22" x14ac:dyDescent="0.3">
      <c r="A93" s="1">
        <v>44026</v>
      </c>
      <c r="B93" t="s">
        <v>38</v>
      </c>
      <c r="C93" t="s">
        <v>31</v>
      </c>
      <c r="D93" t="s">
        <v>24</v>
      </c>
      <c r="E93" t="s">
        <v>45</v>
      </c>
      <c r="F93" t="s">
        <v>26</v>
      </c>
      <c r="G93">
        <v>938</v>
      </c>
      <c r="H93">
        <v>2575</v>
      </c>
      <c r="I93">
        <v>13732.69051</v>
      </c>
      <c r="J93" t="b">
        <v>1</v>
      </c>
      <c r="K93">
        <v>5</v>
      </c>
      <c r="L93" t="b">
        <v>0</v>
      </c>
      <c r="M93">
        <v>153675.55609999999</v>
      </c>
      <c r="N93">
        <v>1831.5</v>
      </c>
      <c r="O93">
        <v>5828</v>
      </c>
      <c r="P93" t="s">
        <v>27</v>
      </c>
      <c r="Q93">
        <v>0.5121485121485122</v>
      </c>
      <c r="R93" t="s">
        <v>40</v>
      </c>
      <c r="S93">
        <v>14.640395</v>
      </c>
      <c r="T93">
        <v>0.31425875085792726</v>
      </c>
      <c r="U93" t="s">
        <v>34</v>
      </c>
      <c r="V93">
        <v>0</v>
      </c>
    </row>
    <row r="94" spans="1:22" x14ac:dyDescent="0.3">
      <c r="A94" s="1">
        <v>44027</v>
      </c>
      <c r="B94" t="s">
        <v>38</v>
      </c>
      <c r="C94" t="s">
        <v>23</v>
      </c>
      <c r="D94" t="s">
        <v>24</v>
      </c>
      <c r="E94" t="s">
        <v>33</v>
      </c>
      <c r="F94" t="s">
        <v>26</v>
      </c>
      <c r="G94">
        <v>469</v>
      </c>
      <c r="H94">
        <v>1088</v>
      </c>
      <c r="I94">
        <v>10100.62147</v>
      </c>
      <c r="J94" t="b">
        <v>1</v>
      </c>
      <c r="K94">
        <v>12</v>
      </c>
      <c r="L94" t="b">
        <v>0</v>
      </c>
      <c r="M94">
        <v>43290.717799999999</v>
      </c>
      <c r="N94">
        <v>933</v>
      </c>
      <c r="O94">
        <v>7259</v>
      </c>
      <c r="P94" t="s">
        <v>27</v>
      </c>
      <c r="Q94">
        <v>0.50267952840300112</v>
      </c>
      <c r="R94" t="s">
        <v>28</v>
      </c>
      <c r="S94">
        <v>21.536506332622601</v>
      </c>
      <c r="T94">
        <v>0.12853010056481609</v>
      </c>
      <c r="U94" t="s">
        <v>34</v>
      </c>
      <c r="V94">
        <v>0</v>
      </c>
    </row>
    <row r="95" spans="1:22" x14ac:dyDescent="0.3">
      <c r="A95" s="1">
        <v>44028</v>
      </c>
      <c r="B95" t="s">
        <v>22</v>
      </c>
      <c r="C95" t="s">
        <v>44</v>
      </c>
      <c r="D95" t="s">
        <v>46</v>
      </c>
      <c r="E95" t="s">
        <v>45</v>
      </c>
      <c r="F95" t="s">
        <v>26</v>
      </c>
      <c r="G95">
        <v>986</v>
      </c>
      <c r="H95">
        <v>778</v>
      </c>
      <c r="I95">
        <v>7794.1343399999996</v>
      </c>
      <c r="J95" t="b">
        <v>0</v>
      </c>
      <c r="K95">
        <v>27</v>
      </c>
      <c r="L95" t="b">
        <v>0</v>
      </c>
      <c r="M95">
        <v>26539.783589999999</v>
      </c>
      <c r="N95">
        <v>1390.5</v>
      </c>
      <c r="O95">
        <v>8071</v>
      </c>
      <c r="P95" t="s">
        <v>36</v>
      </c>
      <c r="Q95">
        <v>0.70909744696152466</v>
      </c>
      <c r="R95" t="s">
        <v>37</v>
      </c>
      <c r="S95">
        <v>7.9048015618661251</v>
      </c>
      <c r="T95">
        <v>0.17228348407880065</v>
      </c>
      <c r="U95" t="s">
        <v>34</v>
      </c>
      <c r="V95">
        <v>0</v>
      </c>
    </row>
    <row r="96" spans="1:22" x14ac:dyDescent="0.3">
      <c r="A96" s="1">
        <v>44029</v>
      </c>
      <c r="B96" t="s">
        <v>42</v>
      </c>
      <c r="C96" t="s">
        <v>41</v>
      </c>
      <c r="D96" t="s">
        <v>46</v>
      </c>
      <c r="E96" t="s">
        <v>33</v>
      </c>
      <c r="F96" t="s">
        <v>39</v>
      </c>
      <c r="G96">
        <v>895</v>
      </c>
      <c r="H96">
        <v>2003</v>
      </c>
      <c r="I96">
        <v>13920.95363</v>
      </c>
      <c r="J96" t="b">
        <v>1</v>
      </c>
      <c r="K96">
        <v>13</v>
      </c>
      <c r="L96" t="b">
        <v>0</v>
      </c>
      <c r="M96">
        <v>142263.47039999999</v>
      </c>
      <c r="N96">
        <v>2521</v>
      </c>
      <c r="O96">
        <v>9379</v>
      </c>
      <c r="P96" t="s">
        <v>36</v>
      </c>
      <c r="Q96">
        <v>0.35501785005950021</v>
      </c>
      <c r="R96" t="s">
        <v>28</v>
      </c>
      <c r="S96">
        <v>15.554138134078212</v>
      </c>
      <c r="T96">
        <v>0.2687919820876426</v>
      </c>
      <c r="U96" t="s">
        <v>34</v>
      </c>
      <c r="V96">
        <v>0</v>
      </c>
    </row>
    <row r="97" spans="1:22" x14ac:dyDescent="0.3">
      <c r="A97" s="1">
        <v>44030</v>
      </c>
      <c r="B97" t="s">
        <v>38</v>
      </c>
      <c r="C97" t="s">
        <v>41</v>
      </c>
      <c r="D97" t="s">
        <v>24</v>
      </c>
      <c r="E97" t="s">
        <v>33</v>
      </c>
      <c r="F97" t="s">
        <v>26</v>
      </c>
      <c r="G97">
        <v>417</v>
      </c>
      <c r="H97">
        <v>3039</v>
      </c>
      <c r="I97">
        <v>5955.3259859999998</v>
      </c>
      <c r="J97" t="b">
        <v>1</v>
      </c>
      <c r="K97">
        <v>4</v>
      </c>
      <c r="L97" t="b">
        <v>0</v>
      </c>
      <c r="M97">
        <v>38229.639909999998</v>
      </c>
      <c r="N97">
        <v>3668.5</v>
      </c>
      <c r="O97">
        <v>9899</v>
      </c>
      <c r="P97" t="s">
        <v>36</v>
      </c>
      <c r="Q97">
        <v>0.11367043750851846</v>
      </c>
      <c r="R97" t="s">
        <v>40</v>
      </c>
      <c r="S97">
        <v>14.28135728057554</v>
      </c>
      <c r="T97">
        <v>0.37059298919082734</v>
      </c>
      <c r="U97" t="s">
        <v>34</v>
      </c>
      <c r="V97">
        <v>0</v>
      </c>
    </row>
    <row r="98" spans="1:22" x14ac:dyDescent="0.3">
      <c r="A98" s="1">
        <v>44031</v>
      </c>
      <c r="B98" t="s">
        <v>22</v>
      </c>
      <c r="C98" t="s">
        <v>41</v>
      </c>
      <c r="D98" t="s">
        <v>24</v>
      </c>
      <c r="E98" t="s">
        <v>33</v>
      </c>
      <c r="F98" t="s">
        <v>43</v>
      </c>
      <c r="G98">
        <v>543</v>
      </c>
      <c r="H98">
        <v>4298</v>
      </c>
      <c r="I98">
        <v>1370.1187930000001</v>
      </c>
      <c r="J98" t="b">
        <v>1</v>
      </c>
      <c r="K98">
        <v>15</v>
      </c>
      <c r="L98" t="b">
        <v>0</v>
      </c>
      <c r="M98">
        <v>66273.288109999994</v>
      </c>
      <c r="N98">
        <v>3124</v>
      </c>
      <c r="O98">
        <v>9304</v>
      </c>
      <c r="P98" t="s">
        <v>27</v>
      </c>
      <c r="Q98">
        <v>0.17381562099871958</v>
      </c>
      <c r="R98" t="s">
        <v>37</v>
      </c>
      <c r="S98">
        <v>2.5232390294659304</v>
      </c>
      <c r="T98">
        <v>0.33576956147893378</v>
      </c>
      <c r="U98" t="s">
        <v>34</v>
      </c>
      <c r="V98">
        <v>0</v>
      </c>
    </row>
    <row r="99" spans="1:22" x14ac:dyDescent="0.3">
      <c r="A99" s="1">
        <v>44032</v>
      </c>
      <c r="B99" t="s">
        <v>42</v>
      </c>
      <c r="C99" t="s">
        <v>31</v>
      </c>
      <c r="D99" t="s">
        <v>24</v>
      </c>
      <c r="E99" t="s">
        <v>33</v>
      </c>
      <c r="F99" t="s">
        <v>43</v>
      </c>
      <c r="G99">
        <v>715</v>
      </c>
      <c r="H99">
        <v>1950</v>
      </c>
      <c r="I99">
        <v>12471.249659999999</v>
      </c>
      <c r="J99" t="b">
        <v>1</v>
      </c>
      <c r="K99">
        <v>24</v>
      </c>
      <c r="L99" t="b">
        <v>0</v>
      </c>
      <c r="M99">
        <v>19932.664529999998</v>
      </c>
      <c r="N99">
        <v>1560</v>
      </c>
      <c r="O99">
        <v>9654</v>
      </c>
      <c r="P99" t="s">
        <v>27</v>
      </c>
      <c r="Q99">
        <v>0.45833333333333331</v>
      </c>
      <c r="R99" t="s">
        <v>37</v>
      </c>
      <c r="S99">
        <v>17.442307216783217</v>
      </c>
      <c r="T99">
        <v>0.16159105034182722</v>
      </c>
      <c r="U99" t="s">
        <v>34</v>
      </c>
      <c r="V99">
        <v>0</v>
      </c>
    </row>
    <row r="100" spans="1:22" x14ac:dyDescent="0.3">
      <c r="A100" s="1">
        <v>44033</v>
      </c>
      <c r="B100" t="s">
        <v>38</v>
      </c>
      <c r="C100" t="s">
        <v>41</v>
      </c>
      <c r="D100" t="s">
        <v>24</v>
      </c>
      <c r="E100" t="s">
        <v>25</v>
      </c>
      <c r="F100" t="s">
        <v>26</v>
      </c>
      <c r="G100">
        <v>749</v>
      </c>
      <c r="H100">
        <v>1170</v>
      </c>
      <c r="I100">
        <v>14634.16273</v>
      </c>
      <c r="J100" t="b">
        <v>1</v>
      </c>
      <c r="K100">
        <v>9</v>
      </c>
      <c r="L100" t="b">
        <v>0</v>
      </c>
      <c r="M100">
        <v>122385.261</v>
      </c>
      <c r="N100">
        <v>1407.5</v>
      </c>
      <c r="O100">
        <v>5652</v>
      </c>
      <c r="P100" t="s">
        <v>36</v>
      </c>
      <c r="Q100">
        <v>0.53214920071047955</v>
      </c>
      <c r="R100" t="s">
        <v>28</v>
      </c>
      <c r="S100">
        <v>19.538267997329772</v>
      </c>
      <c r="T100">
        <v>0.2490268931351734</v>
      </c>
      <c r="U100" t="s">
        <v>34</v>
      </c>
      <c r="V100">
        <v>0</v>
      </c>
    </row>
    <row r="101" spans="1:22" x14ac:dyDescent="0.3">
      <c r="A101" s="1">
        <v>44034</v>
      </c>
      <c r="B101" t="s">
        <v>30</v>
      </c>
      <c r="C101" t="s">
        <v>41</v>
      </c>
      <c r="D101" t="s">
        <v>35</v>
      </c>
      <c r="E101" t="s">
        <v>45</v>
      </c>
      <c r="F101" t="s">
        <v>39</v>
      </c>
      <c r="G101">
        <v>514</v>
      </c>
      <c r="H101">
        <v>1645</v>
      </c>
      <c r="I101">
        <v>9733.9112320000004</v>
      </c>
      <c r="J101" t="b">
        <v>0</v>
      </c>
      <c r="K101">
        <v>28</v>
      </c>
      <c r="L101" t="b">
        <v>0</v>
      </c>
      <c r="M101">
        <v>61069.01511</v>
      </c>
      <c r="N101">
        <v>2112.5</v>
      </c>
      <c r="O101">
        <v>9765</v>
      </c>
      <c r="P101" t="s">
        <v>36</v>
      </c>
      <c r="Q101">
        <v>0.24331360946745562</v>
      </c>
      <c r="R101" t="s">
        <v>37</v>
      </c>
      <c r="S101">
        <v>18.937570490272375</v>
      </c>
      <c r="T101">
        <v>0.21633384536610342</v>
      </c>
      <c r="U101" t="s">
        <v>34</v>
      </c>
      <c r="V101">
        <v>0</v>
      </c>
    </row>
    <row r="102" spans="1:22" x14ac:dyDescent="0.3">
      <c r="A102" s="1">
        <v>44035</v>
      </c>
      <c r="B102" t="s">
        <v>30</v>
      </c>
      <c r="C102" t="s">
        <v>23</v>
      </c>
      <c r="D102" t="s">
        <v>32</v>
      </c>
      <c r="E102" t="s">
        <v>45</v>
      </c>
      <c r="F102" t="s">
        <v>26</v>
      </c>
      <c r="G102">
        <v>394</v>
      </c>
      <c r="H102">
        <v>2580</v>
      </c>
      <c r="I102">
        <v>2956.6248300000002</v>
      </c>
      <c r="J102" t="b">
        <v>1</v>
      </c>
      <c r="K102">
        <v>13</v>
      </c>
      <c r="L102" t="b">
        <v>0</v>
      </c>
      <c r="M102">
        <v>76081.407479999994</v>
      </c>
      <c r="N102">
        <v>2726</v>
      </c>
      <c r="O102">
        <v>8838</v>
      </c>
      <c r="P102" t="s">
        <v>36</v>
      </c>
      <c r="Q102">
        <v>0.14453411592076301</v>
      </c>
      <c r="R102" t="s">
        <v>28</v>
      </c>
      <c r="S102">
        <v>7.5041239340101527</v>
      </c>
      <c r="T102">
        <v>0.3084408237157728</v>
      </c>
      <c r="U102" t="s">
        <v>34</v>
      </c>
      <c r="V102">
        <v>0</v>
      </c>
    </row>
    <row r="103" spans="1:22" x14ac:dyDescent="0.3">
      <c r="A103" s="1">
        <v>44036</v>
      </c>
      <c r="B103" t="s">
        <v>38</v>
      </c>
      <c r="C103" t="s">
        <v>31</v>
      </c>
      <c r="D103" t="s">
        <v>46</v>
      </c>
      <c r="E103" t="s">
        <v>33</v>
      </c>
      <c r="F103" t="s">
        <v>26</v>
      </c>
      <c r="G103">
        <v>61</v>
      </c>
      <c r="H103">
        <v>2872</v>
      </c>
      <c r="I103">
        <v>7059.1190580000002</v>
      </c>
      <c r="J103" t="b">
        <v>1</v>
      </c>
      <c r="K103">
        <v>13</v>
      </c>
      <c r="L103" t="b">
        <v>0</v>
      </c>
      <c r="M103">
        <v>1877.423401</v>
      </c>
      <c r="N103">
        <v>3182</v>
      </c>
      <c r="O103">
        <v>9359</v>
      </c>
      <c r="P103" t="s">
        <v>36</v>
      </c>
      <c r="Q103">
        <v>1.9170333123821496E-2</v>
      </c>
      <c r="R103" t="s">
        <v>28</v>
      </c>
      <c r="S103">
        <v>115.72326324590165</v>
      </c>
      <c r="T103">
        <v>0.33999358905866012</v>
      </c>
      <c r="U103" t="s">
        <v>34</v>
      </c>
      <c r="V103">
        <v>0</v>
      </c>
    </row>
    <row r="104" spans="1:22" x14ac:dyDescent="0.3">
      <c r="A104" s="1">
        <v>44037</v>
      </c>
      <c r="B104" t="s">
        <v>38</v>
      </c>
      <c r="C104" t="s">
        <v>31</v>
      </c>
      <c r="D104" t="s">
        <v>35</v>
      </c>
      <c r="E104" t="s">
        <v>45</v>
      </c>
      <c r="F104" t="s">
        <v>43</v>
      </c>
      <c r="G104">
        <v>355</v>
      </c>
      <c r="H104">
        <v>3492</v>
      </c>
      <c r="I104">
        <v>8471.5859930000006</v>
      </c>
      <c r="J104" t="b">
        <v>1</v>
      </c>
      <c r="K104">
        <v>22</v>
      </c>
      <c r="L104" t="b">
        <v>0</v>
      </c>
      <c r="M104">
        <v>19857.548220000001</v>
      </c>
      <c r="N104">
        <v>2345.5</v>
      </c>
      <c r="O104">
        <v>5230</v>
      </c>
      <c r="P104" t="s">
        <v>27</v>
      </c>
      <c r="Q104">
        <v>0.15135365593690045</v>
      </c>
      <c r="R104" t="s">
        <v>37</v>
      </c>
      <c r="S104">
        <v>23.86362251549296</v>
      </c>
      <c r="T104">
        <v>0.44847036328871892</v>
      </c>
      <c r="U104" t="s">
        <v>29</v>
      </c>
      <c r="V104">
        <v>0</v>
      </c>
    </row>
    <row r="105" spans="1:22" x14ac:dyDescent="0.3">
      <c r="A105" s="1">
        <v>44038</v>
      </c>
      <c r="B105" t="s">
        <v>38</v>
      </c>
      <c r="C105" t="s">
        <v>41</v>
      </c>
      <c r="D105" t="s">
        <v>46</v>
      </c>
      <c r="E105" t="s">
        <v>25</v>
      </c>
      <c r="F105" t="s">
        <v>43</v>
      </c>
      <c r="G105">
        <v>418</v>
      </c>
      <c r="H105">
        <v>1199</v>
      </c>
      <c r="I105">
        <v>11338.93807</v>
      </c>
      <c r="J105" t="b">
        <v>1</v>
      </c>
      <c r="K105">
        <v>29</v>
      </c>
      <c r="L105" t="b">
        <v>0</v>
      </c>
      <c r="M105">
        <v>81285.663310000004</v>
      </c>
      <c r="N105">
        <v>2070.5</v>
      </c>
      <c r="O105">
        <v>5314</v>
      </c>
      <c r="P105" t="s">
        <v>36</v>
      </c>
      <c r="Q105">
        <v>0.2018836029944458</v>
      </c>
      <c r="R105" t="s">
        <v>37</v>
      </c>
      <c r="S105">
        <v>27.126646100478471</v>
      </c>
      <c r="T105">
        <v>0.38963116296575084</v>
      </c>
      <c r="U105" t="s">
        <v>34</v>
      </c>
      <c r="V105">
        <v>0</v>
      </c>
    </row>
    <row r="106" spans="1:22" x14ac:dyDescent="0.3">
      <c r="A106" s="1">
        <v>44561</v>
      </c>
      <c r="B106" t="s">
        <v>38</v>
      </c>
      <c r="C106" t="s">
        <v>23</v>
      </c>
      <c r="D106" t="s">
        <v>24</v>
      </c>
      <c r="E106" t="s">
        <v>45</v>
      </c>
      <c r="F106" t="s">
        <v>39</v>
      </c>
      <c r="G106">
        <v>761</v>
      </c>
      <c r="H106">
        <v>2942</v>
      </c>
      <c r="I106">
        <v>5446.6652240000003</v>
      </c>
      <c r="J106" t="b">
        <v>1</v>
      </c>
      <c r="K106">
        <v>15</v>
      </c>
      <c r="L106" t="b">
        <v>0</v>
      </c>
      <c r="M106">
        <v>29801.190719999999</v>
      </c>
      <c r="N106">
        <v>2395.5</v>
      </c>
      <c r="O106">
        <v>7334</v>
      </c>
      <c r="P106" t="s">
        <v>27</v>
      </c>
      <c r="Q106">
        <v>0.31767898142350243</v>
      </c>
      <c r="R106" t="s">
        <v>37</v>
      </c>
      <c r="S106">
        <v>7.1572473377135353</v>
      </c>
      <c r="T106">
        <v>0.32662939732751567</v>
      </c>
      <c r="U106" t="s">
        <v>34</v>
      </c>
      <c r="V106">
        <v>0</v>
      </c>
    </row>
    <row r="107" spans="1:22" x14ac:dyDescent="0.3">
      <c r="A107" s="1">
        <v>44562</v>
      </c>
      <c r="B107" t="s">
        <v>38</v>
      </c>
      <c r="C107" t="s">
        <v>23</v>
      </c>
      <c r="D107" t="s">
        <v>35</v>
      </c>
      <c r="E107" t="s">
        <v>25</v>
      </c>
      <c r="F107" t="s">
        <v>43</v>
      </c>
      <c r="G107">
        <v>671</v>
      </c>
      <c r="H107">
        <v>1849</v>
      </c>
      <c r="I107">
        <v>10012.01964</v>
      </c>
      <c r="J107" t="b">
        <v>1</v>
      </c>
      <c r="K107">
        <v>7</v>
      </c>
      <c r="L107" t="b">
        <v>0</v>
      </c>
      <c r="M107">
        <v>35673.651530000003</v>
      </c>
      <c r="N107">
        <v>1183.5</v>
      </c>
      <c r="O107">
        <v>5453</v>
      </c>
      <c r="P107" t="s">
        <v>27</v>
      </c>
      <c r="Q107">
        <v>0.56696239966201945</v>
      </c>
      <c r="R107" t="s">
        <v>40</v>
      </c>
      <c r="S107">
        <v>14.921042682563339</v>
      </c>
      <c r="T107">
        <v>0.2170364936732074</v>
      </c>
      <c r="U107" t="s">
        <v>34</v>
      </c>
      <c r="V107">
        <v>0</v>
      </c>
    </row>
    <row r="108" spans="1:22" x14ac:dyDescent="0.3">
      <c r="A108" s="1">
        <v>44563</v>
      </c>
      <c r="B108" t="s">
        <v>30</v>
      </c>
      <c r="C108" t="s">
        <v>23</v>
      </c>
      <c r="D108" t="s">
        <v>46</v>
      </c>
      <c r="E108" t="s">
        <v>25</v>
      </c>
      <c r="F108" t="s">
        <v>26</v>
      </c>
      <c r="G108">
        <v>257</v>
      </c>
      <c r="H108">
        <v>518</v>
      </c>
      <c r="I108">
        <v>2191.9922390000002</v>
      </c>
      <c r="J108" t="b">
        <v>1</v>
      </c>
      <c r="K108">
        <v>21</v>
      </c>
      <c r="L108" t="b">
        <v>0</v>
      </c>
      <c r="M108">
        <v>21007.895939999999</v>
      </c>
      <c r="N108">
        <v>1331</v>
      </c>
      <c r="O108">
        <v>8165</v>
      </c>
      <c r="P108" t="s">
        <v>36</v>
      </c>
      <c r="Q108">
        <v>0.19308790383170549</v>
      </c>
      <c r="R108" t="s">
        <v>37</v>
      </c>
      <c r="S108">
        <v>8.5291526809338531</v>
      </c>
      <c r="T108">
        <v>0.16301285976729946</v>
      </c>
      <c r="U108" t="s">
        <v>34</v>
      </c>
      <c r="V108">
        <v>0</v>
      </c>
    </row>
    <row r="109" spans="1:22" x14ac:dyDescent="0.3">
      <c r="A109" s="1">
        <v>44564</v>
      </c>
      <c r="B109" t="s">
        <v>42</v>
      </c>
      <c r="C109" t="s">
        <v>31</v>
      </c>
      <c r="D109" t="s">
        <v>46</v>
      </c>
      <c r="E109" t="s">
        <v>25</v>
      </c>
      <c r="F109" t="s">
        <v>26</v>
      </c>
      <c r="G109">
        <v>540</v>
      </c>
      <c r="H109">
        <v>2144</v>
      </c>
      <c r="I109">
        <v>12371.828750000001</v>
      </c>
      <c r="J109" t="b">
        <v>1</v>
      </c>
      <c r="K109">
        <v>26</v>
      </c>
      <c r="L109" t="b">
        <v>0</v>
      </c>
      <c r="M109">
        <v>60100.222650000003</v>
      </c>
      <c r="N109">
        <v>1581.5</v>
      </c>
      <c r="O109">
        <v>6730</v>
      </c>
      <c r="P109" t="s">
        <v>27</v>
      </c>
      <c r="Q109">
        <v>0.34144799241226681</v>
      </c>
      <c r="R109" t="s">
        <v>37</v>
      </c>
      <c r="S109">
        <v>22.910793981481483</v>
      </c>
      <c r="T109">
        <v>0.2349925705794948</v>
      </c>
      <c r="U109" t="s">
        <v>34</v>
      </c>
      <c r="V109">
        <v>0</v>
      </c>
    </row>
    <row r="110" spans="1:22" x14ac:dyDescent="0.3">
      <c r="A110" s="1">
        <v>44565</v>
      </c>
      <c r="B110" t="s">
        <v>30</v>
      </c>
      <c r="C110" t="s">
        <v>23</v>
      </c>
      <c r="D110" t="s">
        <v>24</v>
      </c>
      <c r="E110" t="s">
        <v>25</v>
      </c>
      <c r="F110" t="s">
        <v>26</v>
      </c>
      <c r="G110">
        <v>315</v>
      </c>
      <c r="H110">
        <v>1019</v>
      </c>
      <c r="I110">
        <v>3254.02511</v>
      </c>
      <c r="J110" t="b">
        <v>0</v>
      </c>
      <c r="K110">
        <v>1</v>
      </c>
      <c r="L110" t="b">
        <v>0</v>
      </c>
      <c r="M110">
        <v>43448.260520000003</v>
      </c>
      <c r="N110">
        <v>1533</v>
      </c>
      <c r="O110">
        <v>7140</v>
      </c>
      <c r="P110" t="s">
        <v>36</v>
      </c>
      <c r="Q110">
        <v>0.20547945205479451</v>
      </c>
      <c r="R110" t="s">
        <v>40</v>
      </c>
      <c r="S110">
        <v>10.330238444444445</v>
      </c>
      <c r="T110">
        <v>0.21470588235294116</v>
      </c>
      <c r="U110" t="s">
        <v>34</v>
      </c>
      <c r="V110">
        <v>0</v>
      </c>
    </row>
    <row r="111" spans="1:22" x14ac:dyDescent="0.3">
      <c r="A111" s="1">
        <v>44566</v>
      </c>
      <c r="B111" t="s">
        <v>42</v>
      </c>
      <c r="C111" t="s">
        <v>44</v>
      </c>
      <c r="D111" t="s">
        <v>35</v>
      </c>
      <c r="E111" t="s">
        <v>45</v>
      </c>
      <c r="F111" t="s">
        <v>26</v>
      </c>
      <c r="G111">
        <v>50</v>
      </c>
      <c r="H111">
        <v>2047</v>
      </c>
      <c r="I111">
        <v>10308.846079999999</v>
      </c>
      <c r="J111" t="b">
        <v>1</v>
      </c>
      <c r="K111">
        <v>22</v>
      </c>
      <c r="L111" t="b">
        <v>0</v>
      </c>
      <c r="M111">
        <v>8349.5845370000006</v>
      </c>
      <c r="N111">
        <v>2741.5</v>
      </c>
      <c r="O111">
        <v>5329</v>
      </c>
      <c r="P111" t="s">
        <v>36</v>
      </c>
      <c r="Q111">
        <v>1.8238190771475468E-2</v>
      </c>
      <c r="R111" t="s">
        <v>37</v>
      </c>
      <c r="S111">
        <v>206.17692160000001</v>
      </c>
      <c r="T111">
        <v>0.51444924000750614</v>
      </c>
      <c r="U111" t="s">
        <v>29</v>
      </c>
      <c r="V111">
        <v>0</v>
      </c>
    </row>
    <row r="112" spans="1:22" x14ac:dyDescent="0.3">
      <c r="A112" s="1">
        <v>44567</v>
      </c>
      <c r="B112" t="s">
        <v>38</v>
      </c>
      <c r="C112" t="s">
        <v>41</v>
      </c>
      <c r="D112" t="s">
        <v>46</v>
      </c>
      <c r="E112" t="s">
        <v>25</v>
      </c>
      <c r="F112" t="s">
        <v>39</v>
      </c>
      <c r="G112">
        <v>477</v>
      </c>
      <c r="H112">
        <v>3436</v>
      </c>
      <c r="I112">
        <v>6348.7824229999997</v>
      </c>
      <c r="J112" t="b">
        <v>0</v>
      </c>
      <c r="K112">
        <v>26</v>
      </c>
      <c r="L112" t="b">
        <v>0</v>
      </c>
      <c r="M112">
        <v>18706.098539999999</v>
      </c>
      <c r="N112">
        <v>2917.5</v>
      </c>
      <c r="O112">
        <v>8781</v>
      </c>
      <c r="P112" t="s">
        <v>27</v>
      </c>
      <c r="Q112">
        <v>0.16349614395886888</v>
      </c>
      <c r="R112" t="s">
        <v>37</v>
      </c>
      <c r="S112">
        <v>13.309816400419287</v>
      </c>
      <c r="T112">
        <v>0.33225145199863343</v>
      </c>
      <c r="U112" t="s">
        <v>34</v>
      </c>
      <c r="V112">
        <v>0</v>
      </c>
    </row>
    <row r="113" spans="1:22" x14ac:dyDescent="0.3">
      <c r="A113" s="1">
        <v>44568</v>
      </c>
      <c r="B113" t="s">
        <v>42</v>
      </c>
      <c r="C113" t="s">
        <v>41</v>
      </c>
      <c r="D113" t="s">
        <v>46</v>
      </c>
      <c r="E113" t="s">
        <v>25</v>
      </c>
      <c r="F113" t="s">
        <v>26</v>
      </c>
      <c r="G113">
        <v>162</v>
      </c>
      <c r="H113">
        <v>2399</v>
      </c>
      <c r="I113">
        <v>9314.0109489999995</v>
      </c>
      <c r="J113" t="b">
        <v>1</v>
      </c>
      <c r="K113">
        <v>29</v>
      </c>
      <c r="L113" t="b">
        <v>0</v>
      </c>
      <c r="M113">
        <v>15137.031660000001</v>
      </c>
      <c r="N113">
        <v>1905</v>
      </c>
      <c r="O113">
        <v>6743</v>
      </c>
      <c r="P113" t="s">
        <v>27</v>
      </c>
      <c r="Q113">
        <v>8.5039370078740156E-2</v>
      </c>
      <c r="R113" t="s">
        <v>37</v>
      </c>
      <c r="S113">
        <v>57.493894746913575</v>
      </c>
      <c r="T113">
        <v>0.28251520094913246</v>
      </c>
      <c r="U113" t="s">
        <v>34</v>
      </c>
      <c r="V113">
        <v>0</v>
      </c>
    </row>
    <row r="114" spans="1:22" x14ac:dyDescent="0.3">
      <c r="A114" s="1">
        <v>44569</v>
      </c>
      <c r="B114" t="s">
        <v>42</v>
      </c>
      <c r="C114" t="s">
        <v>41</v>
      </c>
      <c r="D114" t="s">
        <v>35</v>
      </c>
      <c r="E114" t="s">
        <v>25</v>
      </c>
      <c r="F114" t="s">
        <v>39</v>
      </c>
      <c r="G114">
        <v>457</v>
      </c>
      <c r="H114">
        <v>1411</v>
      </c>
      <c r="I114">
        <v>9107.9044840000006</v>
      </c>
      <c r="J114" t="b">
        <v>1</v>
      </c>
      <c r="K114">
        <v>27</v>
      </c>
      <c r="L114" t="b">
        <v>0</v>
      </c>
      <c r="M114">
        <v>20222.103810000001</v>
      </c>
      <c r="N114">
        <v>2458.5</v>
      </c>
      <c r="O114">
        <v>5659</v>
      </c>
      <c r="P114" t="s">
        <v>36</v>
      </c>
      <c r="Q114">
        <v>0.18588570266422616</v>
      </c>
      <c r="R114" t="s">
        <v>37</v>
      </c>
      <c r="S114">
        <v>19.929769111597377</v>
      </c>
      <c r="T114">
        <v>0.43444071390705069</v>
      </c>
      <c r="U114" t="s">
        <v>29</v>
      </c>
      <c r="V114">
        <v>0</v>
      </c>
    </row>
    <row r="115" spans="1:22" x14ac:dyDescent="0.3">
      <c r="A115" s="1">
        <v>44570</v>
      </c>
      <c r="B115" t="s">
        <v>22</v>
      </c>
      <c r="C115" t="s">
        <v>31</v>
      </c>
      <c r="D115" t="s">
        <v>46</v>
      </c>
      <c r="E115" t="s">
        <v>25</v>
      </c>
      <c r="F115" t="s">
        <v>26</v>
      </c>
      <c r="G115">
        <v>839</v>
      </c>
      <c r="H115">
        <v>3506</v>
      </c>
      <c r="I115">
        <v>13280.44982</v>
      </c>
      <c r="J115" t="b">
        <v>1</v>
      </c>
      <c r="K115">
        <v>8</v>
      </c>
      <c r="L115" t="b">
        <v>0</v>
      </c>
      <c r="M115">
        <v>117430.329</v>
      </c>
      <c r="N115">
        <v>4171</v>
      </c>
      <c r="O115">
        <v>7261</v>
      </c>
      <c r="P115" t="s">
        <v>36</v>
      </c>
      <c r="Q115">
        <v>0.20115080316470871</v>
      </c>
      <c r="R115" t="s">
        <v>28</v>
      </c>
      <c r="S115">
        <v>15.828903241954707</v>
      </c>
      <c r="T115">
        <v>0.57443878253684066</v>
      </c>
      <c r="U115" t="s">
        <v>29</v>
      </c>
      <c r="V115">
        <v>0</v>
      </c>
    </row>
    <row r="116" spans="1:22" x14ac:dyDescent="0.3">
      <c r="A116" s="1">
        <v>44571</v>
      </c>
      <c r="B116" t="s">
        <v>22</v>
      </c>
      <c r="C116" t="s">
        <v>23</v>
      </c>
      <c r="D116" t="s">
        <v>24</v>
      </c>
      <c r="E116" t="s">
        <v>45</v>
      </c>
      <c r="F116" t="s">
        <v>26</v>
      </c>
      <c r="G116">
        <v>474</v>
      </c>
      <c r="H116">
        <v>4836</v>
      </c>
      <c r="I116">
        <v>4606.6767149999996</v>
      </c>
      <c r="J116" t="b">
        <v>1</v>
      </c>
      <c r="K116">
        <v>13</v>
      </c>
      <c r="L116" t="b">
        <v>0</v>
      </c>
      <c r="M116">
        <v>71082.843949999995</v>
      </c>
      <c r="N116">
        <v>2572</v>
      </c>
      <c r="O116">
        <v>5851</v>
      </c>
      <c r="P116" t="s">
        <v>27</v>
      </c>
      <c r="Q116">
        <v>0.18429237947122862</v>
      </c>
      <c r="R116" t="s">
        <v>28</v>
      </c>
      <c r="S116">
        <v>9.7187272468354422</v>
      </c>
      <c r="T116">
        <v>0.43958297726884293</v>
      </c>
      <c r="U116" t="s">
        <v>29</v>
      </c>
      <c r="V116">
        <v>0</v>
      </c>
    </row>
    <row r="117" spans="1:22" x14ac:dyDescent="0.3">
      <c r="A117" s="1">
        <v>44572</v>
      </c>
      <c r="B117" t="s">
        <v>38</v>
      </c>
      <c r="C117" t="s">
        <v>44</v>
      </c>
      <c r="D117" t="s">
        <v>46</v>
      </c>
      <c r="E117" t="s">
        <v>45</v>
      </c>
      <c r="F117" t="s">
        <v>26</v>
      </c>
      <c r="G117">
        <v>275</v>
      </c>
      <c r="H117">
        <v>308</v>
      </c>
      <c r="I117">
        <v>523.21721950000006</v>
      </c>
      <c r="J117" t="b">
        <v>1</v>
      </c>
      <c r="K117">
        <v>20</v>
      </c>
      <c r="L117" t="b">
        <v>0</v>
      </c>
      <c r="M117">
        <v>41251.304620000003</v>
      </c>
      <c r="N117">
        <v>2045</v>
      </c>
      <c r="O117">
        <v>7363</v>
      </c>
      <c r="P117" t="s">
        <v>36</v>
      </c>
      <c r="Q117">
        <v>0.13447432762836187</v>
      </c>
      <c r="R117" t="s">
        <v>37</v>
      </c>
      <c r="S117">
        <v>1.9026080709090911</v>
      </c>
      <c r="T117">
        <v>0.27774005160939835</v>
      </c>
      <c r="U117" t="s">
        <v>34</v>
      </c>
      <c r="V117">
        <v>0</v>
      </c>
    </row>
    <row r="118" spans="1:22" x14ac:dyDescent="0.3">
      <c r="A118" s="1">
        <v>44573</v>
      </c>
      <c r="B118" t="s">
        <v>42</v>
      </c>
      <c r="C118" t="s">
        <v>23</v>
      </c>
      <c r="D118" t="s">
        <v>24</v>
      </c>
      <c r="E118" t="s">
        <v>33</v>
      </c>
      <c r="F118" t="s">
        <v>43</v>
      </c>
      <c r="G118">
        <v>663</v>
      </c>
      <c r="H118">
        <v>3782</v>
      </c>
      <c r="I118">
        <v>8532.564273</v>
      </c>
      <c r="J118" t="b">
        <v>0</v>
      </c>
      <c r="K118">
        <v>12</v>
      </c>
      <c r="L118" t="b">
        <v>0</v>
      </c>
      <c r="M118">
        <v>31865.254400000002</v>
      </c>
      <c r="N118">
        <v>3834</v>
      </c>
      <c r="O118">
        <v>5107</v>
      </c>
      <c r="P118" t="s">
        <v>36</v>
      </c>
      <c r="Q118">
        <v>0.1729264475743349</v>
      </c>
      <c r="R118" t="s">
        <v>28</v>
      </c>
      <c r="S118">
        <v>12.869629371040723</v>
      </c>
      <c r="T118">
        <v>0.75073428627374195</v>
      </c>
      <c r="U118" t="s">
        <v>29</v>
      </c>
      <c r="V118">
        <v>0</v>
      </c>
    </row>
    <row r="119" spans="1:22" x14ac:dyDescent="0.3">
      <c r="A119" s="1">
        <v>44574</v>
      </c>
      <c r="B119" t="s">
        <v>22</v>
      </c>
      <c r="C119" t="s">
        <v>23</v>
      </c>
      <c r="D119" t="s">
        <v>24</v>
      </c>
      <c r="E119" t="s">
        <v>45</v>
      </c>
      <c r="F119" t="s">
        <v>26</v>
      </c>
      <c r="G119">
        <v>888</v>
      </c>
      <c r="H119">
        <v>3886</v>
      </c>
      <c r="I119">
        <v>4635.5702970000002</v>
      </c>
      <c r="J119" t="b">
        <v>1</v>
      </c>
      <c r="K119">
        <v>16</v>
      </c>
      <c r="L119" t="b">
        <v>0</v>
      </c>
      <c r="M119">
        <v>119331.47560000001</v>
      </c>
      <c r="N119">
        <v>2164.5</v>
      </c>
      <c r="O119">
        <v>5585</v>
      </c>
      <c r="P119" t="s">
        <v>27</v>
      </c>
      <c r="Q119">
        <v>0.41025641025641024</v>
      </c>
      <c r="R119" t="s">
        <v>37</v>
      </c>
      <c r="S119">
        <v>5.2202368209459458</v>
      </c>
      <c r="T119">
        <v>0.38755595344673233</v>
      </c>
      <c r="U119" t="s">
        <v>34</v>
      </c>
      <c r="V119">
        <v>0</v>
      </c>
    </row>
    <row r="120" spans="1:22" x14ac:dyDescent="0.3">
      <c r="A120" s="1">
        <v>44575</v>
      </c>
      <c r="B120" t="s">
        <v>22</v>
      </c>
      <c r="C120" t="s">
        <v>31</v>
      </c>
      <c r="D120" t="s">
        <v>35</v>
      </c>
      <c r="E120" t="s">
        <v>25</v>
      </c>
      <c r="F120" t="s">
        <v>43</v>
      </c>
      <c r="G120">
        <v>64</v>
      </c>
      <c r="H120">
        <v>443</v>
      </c>
      <c r="I120">
        <v>875.49301860000003</v>
      </c>
      <c r="J120" t="b">
        <v>1</v>
      </c>
      <c r="K120">
        <v>18</v>
      </c>
      <c r="L120" t="b">
        <v>0</v>
      </c>
      <c r="M120">
        <v>12210.9115</v>
      </c>
      <c r="N120">
        <v>2718</v>
      </c>
      <c r="O120">
        <v>7072</v>
      </c>
      <c r="P120" t="s">
        <v>36</v>
      </c>
      <c r="Q120">
        <v>2.35467255334805E-2</v>
      </c>
      <c r="R120" t="s">
        <v>37</v>
      </c>
      <c r="S120">
        <v>13.679578415625</v>
      </c>
      <c r="T120">
        <v>0.38433257918552038</v>
      </c>
      <c r="U120" t="s">
        <v>34</v>
      </c>
      <c r="V120">
        <v>0</v>
      </c>
    </row>
    <row r="121" spans="1:22" x14ac:dyDescent="0.3">
      <c r="A121" s="1">
        <v>44576</v>
      </c>
      <c r="B121" t="s">
        <v>30</v>
      </c>
      <c r="C121" t="s">
        <v>44</v>
      </c>
      <c r="D121" t="s">
        <v>46</v>
      </c>
      <c r="E121" t="s">
        <v>33</v>
      </c>
      <c r="F121" t="s">
        <v>26</v>
      </c>
      <c r="G121">
        <v>376</v>
      </c>
      <c r="H121">
        <v>4993</v>
      </c>
      <c r="I121">
        <v>4251.2235199999996</v>
      </c>
      <c r="J121" t="b">
        <v>1</v>
      </c>
      <c r="K121">
        <v>12</v>
      </c>
      <c r="L121" t="b">
        <v>0</v>
      </c>
      <c r="M121">
        <v>24751.959409999999</v>
      </c>
      <c r="N121">
        <v>2810.5</v>
      </c>
      <c r="O121">
        <v>9244</v>
      </c>
      <c r="P121" t="s">
        <v>27</v>
      </c>
      <c r="Q121">
        <v>0.13378402419498309</v>
      </c>
      <c r="R121" t="s">
        <v>28</v>
      </c>
      <c r="S121">
        <v>11.306445531914893</v>
      </c>
      <c r="T121">
        <v>0.30403504976200779</v>
      </c>
      <c r="U121" t="s">
        <v>34</v>
      </c>
      <c r="V121">
        <v>0</v>
      </c>
    </row>
    <row r="122" spans="1:22" x14ac:dyDescent="0.3">
      <c r="A122" s="1">
        <v>44577</v>
      </c>
      <c r="B122" t="s">
        <v>22</v>
      </c>
      <c r="C122" t="s">
        <v>31</v>
      </c>
      <c r="D122" t="s">
        <v>46</v>
      </c>
      <c r="E122" t="s">
        <v>33</v>
      </c>
      <c r="F122" t="s">
        <v>26</v>
      </c>
      <c r="G122">
        <v>382</v>
      </c>
      <c r="H122">
        <v>628</v>
      </c>
      <c r="I122">
        <v>4771.7483279999997</v>
      </c>
      <c r="J122" t="b">
        <v>1</v>
      </c>
      <c r="K122">
        <v>1</v>
      </c>
      <c r="L122" t="b">
        <v>0</v>
      </c>
      <c r="M122">
        <v>25252.934860000001</v>
      </c>
      <c r="N122">
        <v>753.5</v>
      </c>
      <c r="O122">
        <v>6211</v>
      </c>
      <c r="P122" t="s">
        <v>36</v>
      </c>
      <c r="Q122">
        <v>0.50696748506967482</v>
      </c>
      <c r="R122" t="s">
        <v>40</v>
      </c>
      <c r="S122">
        <v>12.491487769633506</v>
      </c>
      <c r="T122">
        <v>0.12131701819352761</v>
      </c>
      <c r="U122" t="s">
        <v>34</v>
      </c>
      <c r="V122">
        <v>0</v>
      </c>
    </row>
    <row r="123" spans="1:22" x14ac:dyDescent="0.3">
      <c r="A123" s="1">
        <v>44578</v>
      </c>
      <c r="B123" t="s">
        <v>38</v>
      </c>
      <c r="C123" t="s">
        <v>41</v>
      </c>
      <c r="D123" t="s">
        <v>32</v>
      </c>
      <c r="E123" t="s">
        <v>45</v>
      </c>
      <c r="F123" t="s">
        <v>26</v>
      </c>
      <c r="G123">
        <v>383</v>
      </c>
      <c r="H123">
        <v>879</v>
      </c>
      <c r="I123">
        <v>7513.8505699999996</v>
      </c>
      <c r="J123" t="b">
        <v>1</v>
      </c>
      <c r="K123">
        <v>23</v>
      </c>
      <c r="L123" t="b">
        <v>0</v>
      </c>
      <c r="M123">
        <v>32229.00476</v>
      </c>
      <c r="N123">
        <v>850.5</v>
      </c>
      <c r="O123">
        <v>9069</v>
      </c>
      <c r="P123" t="s">
        <v>27</v>
      </c>
      <c r="Q123">
        <v>0.45032333921222811</v>
      </c>
      <c r="R123" t="s">
        <v>37</v>
      </c>
      <c r="S123">
        <v>19.618408798955613</v>
      </c>
      <c r="T123">
        <v>9.3781012239497183E-2</v>
      </c>
      <c r="U123" t="s">
        <v>34</v>
      </c>
      <c r="V123">
        <v>0</v>
      </c>
    </row>
    <row r="124" spans="1:22" x14ac:dyDescent="0.3">
      <c r="A124" s="1">
        <v>44579</v>
      </c>
      <c r="B124" t="s">
        <v>22</v>
      </c>
      <c r="C124" t="s">
        <v>44</v>
      </c>
      <c r="D124" t="s">
        <v>35</v>
      </c>
      <c r="E124" t="s">
        <v>45</v>
      </c>
      <c r="F124" t="s">
        <v>39</v>
      </c>
      <c r="G124">
        <v>877</v>
      </c>
      <c r="H124">
        <v>822</v>
      </c>
      <c r="I124">
        <v>5100.6902650000002</v>
      </c>
      <c r="J124" t="b">
        <v>1</v>
      </c>
      <c r="K124">
        <v>6</v>
      </c>
      <c r="L124" t="b">
        <v>0</v>
      </c>
      <c r="M124">
        <v>68251.084969999996</v>
      </c>
      <c r="N124">
        <v>1441.5</v>
      </c>
      <c r="O124">
        <v>8675</v>
      </c>
      <c r="P124" t="s">
        <v>36</v>
      </c>
      <c r="Q124">
        <v>0.60839403399236902</v>
      </c>
      <c r="R124" t="s">
        <v>40</v>
      </c>
      <c r="S124">
        <v>5.8160664367160777</v>
      </c>
      <c r="T124">
        <v>0.1661671469740634</v>
      </c>
      <c r="U124" t="s">
        <v>34</v>
      </c>
      <c r="V124">
        <v>0</v>
      </c>
    </row>
    <row r="125" spans="1:22" x14ac:dyDescent="0.3">
      <c r="A125" s="1">
        <v>44580</v>
      </c>
      <c r="B125" t="s">
        <v>38</v>
      </c>
      <c r="C125" t="s">
        <v>23</v>
      </c>
      <c r="D125" t="s">
        <v>35</v>
      </c>
      <c r="E125" t="s">
        <v>45</v>
      </c>
      <c r="F125" t="s">
        <v>26</v>
      </c>
      <c r="G125">
        <v>58</v>
      </c>
      <c r="H125">
        <v>2061</v>
      </c>
      <c r="I125">
        <v>11378.94153</v>
      </c>
      <c r="J125" t="b">
        <v>1</v>
      </c>
      <c r="K125">
        <v>19</v>
      </c>
      <c r="L125" t="b">
        <v>0</v>
      </c>
      <c r="M125">
        <v>9267.6089539999994</v>
      </c>
      <c r="N125">
        <v>2010.5</v>
      </c>
      <c r="O125">
        <v>9898</v>
      </c>
      <c r="P125" t="s">
        <v>27</v>
      </c>
      <c r="Q125">
        <v>2.8848545138025365E-2</v>
      </c>
      <c r="R125" t="s">
        <v>37</v>
      </c>
      <c r="S125">
        <v>196.18864706896551</v>
      </c>
      <c r="T125">
        <v>0.20312184279652454</v>
      </c>
      <c r="U125" t="s">
        <v>34</v>
      </c>
      <c r="V125">
        <v>0</v>
      </c>
    </row>
    <row r="126" spans="1:22" x14ac:dyDescent="0.3">
      <c r="A126" s="1">
        <v>44581</v>
      </c>
      <c r="B126" t="s">
        <v>22</v>
      </c>
      <c r="C126" t="s">
        <v>41</v>
      </c>
      <c r="D126" t="s">
        <v>35</v>
      </c>
      <c r="E126" t="s">
        <v>33</v>
      </c>
      <c r="F126" t="s">
        <v>26</v>
      </c>
      <c r="G126">
        <v>545</v>
      </c>
      <c r="H126">
        <v>1960</v>
      </c>
      <c r="I126">
        <v>11282.236500000001</v>
      </c>
      <c r="J126" t="b">
        <v>0</v>
      </c>
      <c r="K126">
        <v>16</v>
      </c>
      <c r="L126" t="b">
        <v>0</v>
      </c>
      <c r="M126">
        <v>63813.111100000002</v>
      </c>
      <c r="N126">
        <v>3084.5</v>
      </c>
      <c r="O126">
        <v>7987</v>
      </c>
      <c r="P126" t="s">
        <v>36</v>
      </c>
      <c r="Q126">
        <v>0.1766899011184957</v>
      </c>
      <c r="R126" t="s">
        <v>37</v>
      </c>
      <c r="S126">
        <v>20.701351376146789</v>
      </c>
      <c r="T126">
        <v>0.38619005884562413</v>
      </c>
      <c r="U126" t="s">
        <v>34</v>
      </c>
      <c r="V126">
        <v>0</v>
      </c>
    </row>
    <row r="127" spans="1:22" x14ac:dyDescent="0.3">
      <c r="A127" s="1">
        <v>44582</v>
      </c>
      <c r="B127" t="s">
        <v>22</v>
      </c>
      <c r="C127" t="s">
        <v>23</v>
      </c>
      <c r="D127" t="s">
        <v>24</v>
      </c>
      <c r="E127" t="s">
        <v>25</v>
      </c>
      <c r="F127" t="s">
        <v>26</v>
      </c>
      <c r="G127">
        <v>244</v>
      </c>
      <c r="H127">
        <v>4209</v>
      </c>
      <c r="I127">
        <v>3989.8830509999998</v>
      </c>
      <c r="J127" t="b">
        <v>1</v>
      </c>
      <c r="K127">
        <v>15</v>
      </c>
      <c r="L127" t="b">
        <v>0</v>
      </c>
      <c r="M127">
        <v>18097.823980000001</v>
      </c>
      <c r="N127">
        <v>2998</v>
      </c>
      <c r="O127">
        <v>7363</v>
      </c>
      <c r="P127" t="s">
        <v>27</v>
      </c>
      <c r="Q127">
        <v>8.1387591727818551E-2</v>
      </c>
      <c r="R127" t="s">
        <v>37</v>
      </c>
      <c r="S127">
        <v>16.351979717213116</v>
      </c>
      <c r="T127">
        <v>0.40717099008556296</v>
      </c>
      <c r="U127" t="s">
        <v>29</v>
      </c>
      <c r="V127">
        <v>0</v>
      </c>
    </row>
    <row r="128" spans="1:22" x14ac:dyDescent="0.3">
      <c r="A128" s="1">
        <v>44583</v>
      </c>
      <c r="B128" t="s">
        <v>30</v>
      </c>
      <c r="C128" t="s">
        <v>44</v>
      </c>
      <c r="D128" t="s">
        <v>32</v>
      </c>
      <c r="E128" t="s">
        <v>33</v>
      </c>
      <c r="F128" t="s">
        <v>43</v>
      </c>
      <c r="G128">
        <v>382</v>
      </c>
      <c r="H128">
        <v>1787</v>
      </c>
      <c r="I128">
        <v>10243.654</v>
      </c>
      <c r="J128" t="b">
        <v>1</v>
      </c>
      <c r="K128">
        <v>27</v>
      </c>
      <c r="L128" t="b">
        <v>1</v>
      </c>
      <c r="M128">
        <v>19053.779119999999</v>
      </c>
      <c r="N128">
        <v>1096.5</v>
      </c>
      <c r="O128">
        <v>7479</v>
      </c>
      <c r="P128" t="s">
        <v>27</v>
      </c>
      <c r="Q128">
        <v>0.34838121295029639</v>
      </c>
      <c r="R128" t="s">
        <v>37</v>
      </c>
      <c r="S128">
        <v>26.815848167539269</v>
      </c>
      <c r="T128">
        <v>0.14661050942639389</v>
      </c>
      <c r="U128" t="s">
        <v>34</v>
      </c>
      <c r="V128">
        <v>1</v>
      </c>
    </row>
    <row r="129" spans="1:22" x14ac:dyDescent="0.3">
      <c r="A129" s="1">
        <v>44584</v>
      </c>
      <c r="B129" t="s">
        <v>38</v>
      </c>
      <c r="C129" t="s">
        <v>41</v>
      </c>
      <c r="D129" t="s">
        <v>46</v>
      </c>
      <c r="E129" t="s">
        <v>45</v>
      </c>
      <c r="F129" t="s">
        <v>26</v>
      </c>
      <c r="G129">
        <v>65</v>
      </c>
      <c r="H129">
        <v>406</v>
      </c>
      <c r="I129">
        <v>10597.25527</v>
      </c>
      <c r="J129" t="b">
        <v>1</v>
      </c>
      <c r="K129">
        <v>7</v>
      </c>
      <c r="L129" t="b">
        <v>0</v>
      </c>
      <c r="M129">
        <v>2047.762455</v>
      </c>
      <c r="N129">
        <v>1374.5</v>
      </c>
      <c r="O129">
        <v>8898</v>
      </c>
      <c r="P129" t="s">
        <v>36</v>
      </c>
      <c r="Q129">
        <v>4.7289923608584937E-2</v>
      </c>
      <c r="R129" t="s">
        <v>40</v>
      </c>
      <c r="S129">
        <v>163.03469646153846</v>
      </c>
      <c r="T129">
        <v>0.15447291526185661</v>
      </c>
      <c r="U129" t="s">
        <v>34</v>
      </c>
      <c r="V129">
        <v>0</v>
      </c>
    </row>
    <row r="130" spans="1:22" x14ac:dyDescent="0.3">
      <c r="A130" s="1">
        <v>44585</v>
      </c>
      <c r="B130" t="s">
        <v>38</v>
      </c>
      <c r="C130" t="s">
        <v>41</v>
      </c>
      <c r="D130" t="s">
        <v>35</v>
      </c>
      <c r="E130" t="s">
        <v>25</v>
      </c>
      <c r="F130" t="s">
        <v>43</v>
      </c>
      <c r="G130">
        <v>904</v>
      </c>
      <c r="H130">
        <v>2343</v>
      </c>
      <c r="I130">
        <v>14699.317730000001</v>
      </c>
      <c r="J130" t="b">
        <v>1</v>
      </c>
      <c r="K130">
        <v>21</v>
      </c>
      <c r="L130" t="b">
        <v>0</v>
      </c>
      <c r="M130">
        <v>125130.874</v>
      </c>
      <c r="N130">
        <v>2217.5</v>
      </c>
      <c r="O130">
        <v>6187</v>
      </c>
      <c r="P130" t="s">
        <v>27</v>
      </c>
      <c r="Q130">
        <v>0.40766629086809469</v>
      </c>
      <c r="R130" t="s">
        <v>37</v>
      </c>
      <c r="S130">
        <v>16.260307223451328</v>
      </c>
      <c r="T130">
        <v>0.35841280103442702</v>
      </c>
      <c r="U130" t="s">
        <v>34</v>
      </c>
      <c r="V130">
        <v>0</v>
      </c>
    </row>
    <row r="131" spans="1:22" x14ac:dyDescent="0.3">
      <c r="A131" s="1">
        <v>44586</v>
      </c>
      <c r="B131" t="s">
        <v>22</v>
      </c>
      <c r="C131" t="s">
        <v>41</v>
      </c>
      <c r="D131" t="s">
        <v>32</v>
      </c>
      <c r="E131" t="s">
        <v>33</v>
      </c>
      <c r="F131" t="s">
        <v>26</v>
      </c>
      <c r="G131">
        <v>185</v>
      </c>
      <c r="H131">
        <v>2092</v>
      </c>
      <c r="I131">
        <v>8025.8145569999997</v>
      </c>
      <c r="J131" t="b">
        <v>0</v>
      </c>
      <c r="K131">
        <v>21</v>
      </c>
      <c r="L131" t="b">
        <v>0</v>
      </c>
      <c r="M131">
        <v>23520.166020000001</v>
      </c>
      <c r="N131">
        <v>2262</v>
      </c>
      <c r="O131">
        <v>6782</v>
      </c>
      <c r="P131" t="s">
        <v>36</v>
      </c>
      <c r="Q131">
        <v>8.1786030061892126E-2</v>
      </c>
      <c r="R131" t="s">
        <v>37</v>
      </c>
      <c r="S131">
        <v>43.382781389189191</v>
      </c>
      <c r="T131">
        <v>0.33352993217340016</v>
      </c>
      <c r="U131" t="s">
        <v>34</v>
      </c>
      <c r="V131">
        <v>0</v>
      </c>
    </row>
    <row r="132" spans="1:22" x14ac:dyDescent="0.3">
      <c r="A132" s="1">
        <v>44587</v>
      </c>
      <c r="B132" t="s">
        <v>22</v>
      </c>
      <c r="C132" t="s">
        <v>23</v>
      </c>
      <c r="D132" t="s">
        <v>24</v>
      </c>
      <c r="E132" t="s">
        <v>25</v>
      </c>
      <c r="F132" t="s">
        <v>43</v>
      </c>
      <c r="G132">
        <v>606</v>
      </c>
      <c r="H132">
        <v>2432</v>
      </c>
      <c r="I132">
        <v>5377.7089889999997</v>
      </c>
      <c r="J132" t="b">
        <v>1</v>
      </c>
      <c r="K132">
        <v>27</v>
      </c>
      <c r="L132" t="b">
        <v>0</v>
      </c>
      <c r="M132">
        <v>115437.2154</v>
      </c>
      <c r="N132">
        <v>2653.5</v>
      </c>
      <c r="O132">
        <v>7648</v>
      </c>
      <c r="P132" t="s">
        <v>36</v>
      </c>
      <c r="Q132">
        <v>0.2283776144714528</v>
      </c>
      <c r="R132" t="s">
        <v>37</v>
      </c>
      <c r="S132">
        <v>8.8741072425742562</v>
      </c>
      <c r="T132">
        <v>0.34695345188284521</v>
      </c>
      <c r="U132" t="s">
        <v>34</v>
      </c>
      <c r="V132">
        <v>0</v>
      </c>
    </row>
    <row r="133" spans="1:22" x14ac:dyDescent="0.3">
      <c r="A133" s="1">
        <v>44588</v>
      </c>
      <c r="B133" t="s">
        <v>22</v>
      </c>
      <c r="C133" t="s">
        <v>41</v>
      </c>
      <c r="D133" t="s">
        <v>35</v>
      </c>
      <c r="E133" t="s">
        <v>33</v>
      </c>
      <c r="F133" t="s">
        <v>26</v>
      </c>
      <c r="G133">
        <v>500</v>
      </c>
      <c r="H133">
        <v>2875</v>
      </c>
      <c r="I133">
        <v>8604.8219840000002</v>
      </c>
      <c r="J133" t="b">
        <v>1</v>
      </c>
      <c r="K133">
        <v>14</v>
      </c>
      <c r="L133" t="b">
        <v>0</v>
      </c>
      <c r="M133">
        <v>57311.745029999998</v>
      </c>
      <c r="N133">
        <v>1589</v>
      </c>
      <c r="O133">
        <v>5854</v>
      </c>
      <c r="P133" t="s">
        <v>27</v>
      </c>
      <c r="Q133">
        <v>0.31466331025802391</v>
      </c>
      <c r="R133" t="s">
        <v>28</v>
      </c>
      <c r="S133">
        <v>17.209643968000002</v>
      </c>
      <c r="T133">
        <v>0.2714383327639221</v>
      </c>
      <c r="U133" t="s">
        <v>34</v>
      </c>
      <c r="V133">
        <v>0</v>
      </c>
    </row>
    <row r="134" spans="1:22" x14ac:dyDescent="0.3">
      <c r="A134" s="1">
        <v>44589</v>
      </c>
      <c r="B134" t="s">
        <v>30</v>
      </c>
      <c r="C134" t="s">
        <v>23</v>
      </c>
      <c r="D134" t="s">
        <v>46</v>
      </c>
      <c r="E134" t="s">
        <v>33</v>
      </c>
      <c r="F134" t="s">
        <v>26</v>
      </c>
      <c r="G134">
        <v>646</v>
      </c>
      <c r="H134">
        <v>303</v>
      </c>
      <c r="I134">
        <v>14573.042729999999</v>
      </c>
      <c r="J134" t="b">
        <v>1</v>
      </c>
      <c r="K134">
        <v>23</v>
      </c>
      <c r="L134" t="b">
        <v>0</v>
      </c>
      <c r="M134">
        <v>60688.901030000001</v>
      </c>
      <c r="N134">
        <v>2197.5</v>
      </c>
      <c r="O134">
        <v>9854</v>
      </c>
      <c r="P134" t="s">
        <v>36</v>
      </c>
      <c r="Q134">
        <v>0.29397042093287828</v>
      </c>
      <c r="R134" t="s">
        <v>37</v>
      </c>
      <c r="S134">
        <v>22.5588896749226</v>
      </c>
      <c r="T134">
        <v>0.22300588593464582</v>
      </c>
      <c r="U134" t="s">
        <v>34</v>
      </c>
      <c r="V134">
        <v>0</v>
      </c>
    </row>
    <row r="135" spans="1:22" x14ac:dyDescent="0.3">
      <c r="A135" s="1">
        <v>44590</v>
      </c>
      <c r="B135" t="s">
        <v>22</v>
      </c>
      <c r="C135" t="s">
        <v>23</v>
      </c>
      <c r="D135" t="s">
        <v>35</v>
      </c>
      <c r="E135" t="s">
        <v>33</v>
      </c>
      <c r="F135" t="s">
        <v>26</v>
      </c>
      <c r="G135">
        <v>740</v>
      </c>
      <c r="H135">
        <v>4092</v>
      </c>
      <c r="I135">
        <v>9539.470104</v>
      </c>
      <c r="J135" t="b">
        <v>1</v>
      </c>
      <c r="K135">
        <v>22</v>
      </c>
      <c r="L135" t="b">
        <v>0</v>
      </c>
      <c r="M135">
        <v>100686.50780000001</v>
      </c>
      <c r="N135">
        <v>3825.5</v>
      </c>
      <c r="O135">
        <v>9893</v>
      </c>
      <c r="P135" t="s">
        <v>27</v>
      </c>
      <c r="Q135">
        <v>0.19343876617435629</v>
      </c>
      <c r="R135" t="s">
        <v>37</v>
      </c>
      <c r="S135">
        <v>12.891175816216217</v>
      </c>
      <c r="T135">
        <v>0.38668755685838474</v>
      </c>
      <c r="U135" t="s">
        <v>34</v>
      </c>
      <c r="V135">
        <v>0</v>
      </c>
    </row>
    <row r="136" spans="1:22" x14ac:dyDescent="0.3">
      <c r="A136" s="1">
        <v>44591</v>
      </c>
      <c r="B136" t="s">
        <v>30</v>
      </c>
      <c r="C136" t="s">
        <v>41</v>
      </c>
      <c r="D136" t="s">
        <v>46</v>
      </c>
      <c r="E136" t="s">
        <v>33</v>
      </c>
      <c r="F136" t="s">
        <v>26</v>
      </c>
      <c r="G136">
        <v>949</v>
      </c>
      <c r="H136">
        <v>3559</v>
      </c>
      <c r="I136">
        <v>10861.15402</v>
      </c>
      <c r="J136" t="b">
        <v>1</v>
      </c>
      <c r="K136">
        <v>17</v>
      </c>
      <c r="L136" t="b">
        <v>0</v>
      </c>
      <c r="M136">
        <v>138418.82629999999</v>
      </c>
      <c r="N136">
        <v>4091.5</v>
      </c>
      <c r="O136">
        <v>6454</v>
      </c>
      <c r="P136" t="s">
        <v>36</v>
      </c>
      <c r="Q136">
        <v>0.23194427471587437</v>
      </c>
      <c r="R136" t="s">
        <v>37</v>
      </c>
      <c r="S136">
        <v>11.44484090621707</v>
      </c>
      <c r="T136">
        <v>0.63394793926247284</v>
      </c>
      <c r="U136" t="s">
        <v>29</v>
      </c>
      <c r="V136">
        <v>0</v>
      </c>
    </row>
    <row r="137" spans="1:22" x14ac:dyDescent="0.3">
      <c r="A137" s="1">
        <v>44592</v>
      </c>
      <c r="B137" t="s">
        <v>38</v>
      </c>
      <c r="C137" t="s">
        <v>44</v>
      </c>
      <c r="D137" t="s">
        <v>32</v>
      </c>
      <c r="E137" t="s">
        <v>45</v>
      </c>
      <c r="F137" t="s">
        <v>26</v>
      </c>
      <c r="G137">
        <v>224</v>
      </c>
      <c r="H137">
        <v>4624</v>
      </c>
      <c r="I137">
        <v>1389.4861800000001</v>
      </c>
      <c r="J137" t="b">
        <v>1</v>
      </c>
      <c r="K137">
        <v>8</v>
      </c>
      <c r="L137" t="b">
        <v>1</v>
      </c>
      <c r="M137">
        <v>5228.2721289999999</v>
      </c>
      <c r="N137">
        <v>2914</v>
      </c>
      <c r="O137">
        <v>5850</v>
      </c>
      <c r="P137" t="s">
        <v>27</v>
      </c>
      <c r="Q137">
        <v>7.6870281400137269E-2</v>
      </c>
      <c r="R137" t="s">
        <v>28</v>
      </c>
      <c r="S137">
        <v>6.2030633035714287</v>
      </c>
      <c r="T137">
        <v>0.49811965811965814</v>
      </c>
      <c r="U137" t="s">
        <v>29</v>
      </c>
      <c r="V137">
        <v>1</v>
      </c>
    </row>
    <row r="138" spans="1:22" x14ac:dyDescent="0.3">
      <c r="A138" s="1">
        <v>44593</v>
      </c>
      <c r="B138" t="s">
        <v>22</v>
      </c>
      <c r="C138" t="s">
        <v>44</v>
      </c>
      <c r="D138" t="s">
        <v>32</v>
      </c>
      <c r="E138" t="s">
        <v>45</v>
      </c>
      <c r="F138" t="s">
        <v>43</v>
      </c>
      <c r="G138">
        <v>389</v>
      </c>
      <c r="H138">
        <v>1204</v>
      </c>
      <c r="I138">
        <v>7745.4068390000002</v>
      </c>
      <c r="J138" t="b">
        <v>1</v>
      </c>
      <c r="K138">
        <v>13</v>
      </c>
      <c r="L138" t="b">
        <v>1</v>
      </c>
      <c r="M138">
        <v>25455.232209999998</v>
      </c>
      <c r="N138">
        <v>2057</v>
      </c>
      <c r="O138">
        <v>8728</v>
      </c>
      <c r="P138" t="s">
        <v>36</v>
      </c>
      <c r="Q138">
        <v>0.18911035488575595</v>
      </c>
      <c r="R138" t="s">
        <v>28</v>
      </c>
      <c r="S138">
        <v>19.9110715655527</v>
      </c>
      <c r="T138">
        <v>0.23567827681026582</v>
      </c>
      <c r="U138" t="s">
        <v>34</v>
      </c>
      <c r="V138">
        <v>1</v>
      </c>
    </row>
    <row r="139" spans="1:22" x14ac:dyDescent="0.3">
      <c r="A139" s="1">
        <v>44594</v>
      </c>
      <c r="B139" t="s">
        <v>30</v>
      </c>
      <c r="C139" t="s">
        <v>44</v>
      </c>
      <c r="D139" t="s">
        <v>32</v>
      </c>
      <c r="E139" t="s">
        <v>33</v>
      </c>
      <c r="F139" t="s">
        <v>26</v>
      </c>
      <c r="G139">
        <v>171</v>
      </c>
      <c r="H139">
        <v>2910</v>
      </c>
      <c r="I139">
        <v>13085.516310000001</v>
      </c>
      <c r="J139" t="b">
        <v>1</v>
      </c>
      <c r="K139">
        <v>23</v>
      </c>
      <c r="L139" t="b">
        <v>0</v>
      </c>
      <c r="M139">
        <v>24087.478200000001</v>
      </c>
      <c r="N139">
        <v>1883.5</v>
      </c>
      <c r="O139">
        <v>6339</v>
      </c>
      <c r="P139" t="s">
        <v>27</v>
      </c>
      <c r="Q139">
        <v>9.0788425803026276E-2</v>
      </c>
      <c r="R139" t="s">
        <v>37</v>
      </c>
      <c r="S139">
        <v>76.523487192982458</v>
      </c>
      <c r="T139">
        <v>0.2971288846821265</v>
      </c>
      <c r="U139" t="s">
        <v>34</v>
      </c>
      <c r="V139">
        <v>0</v>
      </c>
    </row>
    <row r="140" spans="1:22" x14ac:dyDescent="0.3">
      <c r="A140" s="1">
        <v>44595</v>
      </c>
      <c r="B140" t="s">
        <v>22</v>
      </c>
      <c r="C140" t="s">
        <v>23</v>
      </c>
      <c r="D140" t="s">
        <v>24</v>
      </c>
      <c r="E140" t="s">
        <v>25</v>
      </c>
      <c r="F140" t="s">
        <v>26</v>
      </c>
      <c r="G140">
        <v>569</v>
      </c>
      <c r="H140">
        <v>857</v>
      </c>
      <c r="I140">
        <v>13916.678819999999</v>
      </c>
      <c r="J140" t="b">
        <v>1</v>
      </c>
      <c r="K140">
        <v>29</v>
      </c>
      <c r="L140" t="b">
        <v>0</v>
      </c>
      <c r="M140">
        <v>31472.817760000002</v>
      </c>
      <c r="N140">
        <v>2737.5</v>
      </c>
      <c r="O140">
        <v>5027</v>
      </c>
      <c r="P140" t="s">
        <v>36</v>
      </c>
      <c r="Q140">
        <v>0.20785388127853882</v>
      </c>
      <c r="R140" t="s">
        <v>37</v>
      </c>
      <c r="S140">
        <v>24.458135008787345</v>
      </c>
      <c r="T140">
        <v>0.54455937935150189</v>
      </c>
      <c r="U140" t="s">
        <v>29</v>
      </c>
      <c r="V140">
        <v>0</v>
      </c>
    </row>
    <row r="141" spans="1:22" x14ac:dyDescent="0.3">
      <c r="A141" s="1">
        <v>44596</v>
      </c>
      <c r="B141" t="s">
        <v>22</v>
      </c>
      <c r="C141" t="s">
        <v>41</v>
      </c>
      <c r="D141" t="s">
        <v>32</v>
      </c>
      <c r="E141" t="s">
        <v>33</v>
      </c>
      <c r="F141" t="s">
        <v>26</v>
      </c>
      <c r="G141">
        <v>953</v>
      </c>
      <c r="H141">
        <v>4618</v>
      </c>
      <c r="I141">
        <v>3696.3493309999999</v>
      </c>
      <c r="J141" t="b">
        <v>1</v>
      </c>
      <c r="K141">
        <v>8</v>
      </c>
      <c r="L141" t="b">
        <v>0</v>
      </c>
      <c r="M141">
        <v>134277.5955</v>
      </c>
      <c r="N141">
        <v>3135</v>
      </c>
      <c r="O141">
        <v>9033</v>
      </c>
      <c r="P141" t="s">
        <v>27</v>
      </c>
      <c r="Q141">
        <v>0.30398724082934608</v>
      </c>
      <c r="R141" t="s">
        <v>28</v>
      </c>
      <c r="S141">
        <v>3.8786456778593914</v>
      </c>
      <c r="T141">
        <v>0.34706077715044836</v>
      </c>
      <c r="U141" t="s">
        <v>34</v>
      </c>
      <c r="V141">
        <v>0</v>
      </c>
    </row>
    <row r="142" spans="1:22" x14ac:dyDescent="0.3">
      <c r="A142" s="1">
        <v>44597</v>
      </c>
      <c r="B142" t="s">
        <v>42</v>
      </c>
      <c r="C142" t="s">
        <v>31</v>
      </c>
      <c r="D142" t="s">
        <v>32</v>
      </c>
      <c r="E142" t="s">
        <v>33</v>
      </c>
      <c r="F142" t="s">
        <v>26</v>
      </c>
      <c r="G142">
        <v>116</v>
      </c>
      <c r="H142">
        <v>1652</v>
      </c>
      <c r="I142">
        <v>5228.5378209999999</v>
      </c>
      <c r="J142" t="b">
        <v>1</v>
      </c>
      <c r="K142">
        <v>16</v>
      </c>
      <c r="L142" t="b">
        <v>0</v>
      </c>
      <c r="M142">
        <v>17087.754140000001</v>
      </c>
      <c r="N142">
        <v>3210.5</v>
      </c>
      <c r="O142">
        <v>9458</v>
      </c>
      <c r="P142" t="s">
        <v>36</v>
      </c>
      <c r="Q142">
        <v>3.6131443700358201E-2</v>
      </c>
      <c r="R142" t="s">
        <v>37</v>
      </c>
      <c r="S142">
        <v>45.07360190517241</v>
      </c>
      <c r="T142">
        <v>0.33944808627616835</v>
      </c>
      <c r="U142" t="s">
        <v>34</v>
      </c>
      <c r="V142">
        <v>0</v>
      </c>
    </row>
    <row r="143" spans="1:22" x14ac:dyDescent="0.3">
      <c r="A143" s="1">
        <v>44598</v>
      </c>
      <c r="B143" t="s">
        <v>38</v>
      </c>
      <c r="C143" t="s">
        <v>23</v>
      </c>
      <c r="D143" t="s">
        <v>35</v>
      </c>
      <c r="E143" t="s">
        <v>45</v>
      </c>
      <c r="F143" t="s">
        <v>26</v>
      </c>
      <c r="G143">
        <v>196</v>
      </c>
      <c r="H143">
        <v>4769</v>
      </c>
      <c r="I143">
        <v>2174.835059</v>
      </c>
      <c r="J143" t="b">
        <v>0</v>
      </c>
      <c r="K143">
        <v>1</v>
      </c>
      <c r="L143" t="b">
        <v>0</v>
      </c>
      <c r="M143">
        <v>17215.479080000001</v>
      </c>
      <c r="N143">
        <v>2721.5</v>
      </c>
      <c r="O143">
        <v>6630</v>
      </c>
      <c r="P143" t="s">
        <v>27</v>
      </c>
      <c r="Q143">
        <v>7.2019107110049607E-2</v>
      </c>
      <c r="R143" t="s">
        <v>40</v>
      </c>
      <c r="S143">
        <v>11.096097239795919</v>
      </c>
      <c r="T143">
        <v>0.41048265460030164</v>
      </c>
      <c r="U143" t="s">
        <v>29</v>
      </c>
      <c r="V143">
        <v>0</v>
      </c>
    </row>
    <row r="144" spans="1:22" x14ac:dyDescent="0.3">
      <c r="A144" s="1">
        <v>44599</v>
      </c>
      <c r="B144" t="s">
        <v>30</v>
      </c>
      <c r="C144" t="s">
        <v>44</v>
      </c>
      <c r="D144" t="s">
        <v>24</v>
      </c>
      <c r="E144" t="s">
        <v>45</v>
      </c>
      <c r="F144" t="s">
        <v>43</v>
      </c>
      <c r="G144">
        <v>398</v>
      </c>
      <c r="H144">
        <v>674</v>
      </c>
      <c r="I144">
        <v>3872.7560010000002</v>
      </c>
      <c r="J144" t="b">
        <v>1</v>
      </c>
      <c r="K144">
        <v>24</v>
      </c>
      <c r="L144" t="b">
        <v>0</v>
      </c>
      <c r="M144">
        <v>38998.083209999997</v>
      </c>
      <c r="N144">
        <v>515.5</v>
      </c>
      <c r="O144">
        <v>8218</v>
      </c>
      <c r="P144" t="s">
        <v>27</v>
      </c>
      <c r="Q144">
        <v>0.77206595538312317</v>
      </c>
      <c r="R144" t="s">
        <v>37</v>
      </c>
      <c r="S144">
        <v>9.7305427160804019</v>
      </c>
      <c r="T144">
        <v>6.2728157702604037E-2</v>
      </c>
      <c r="U144" t="s">
        <v>34</v>
      </c>
      <c r="V144">
        <v>0</v>
      </c>
    </row>
    <row r="145" spans="1:22" x14ac:dyDescent="0.3">
      <c r="A145" s="1">
        <v>44600</v>
      </c>
      <c r="B145" t="s">
        <v>42</v>
      </c>
      <c r="C145" t="s">
        <v>31</v>
      </c>
      <c r="D145" t="s">
        <v>24</v>
      </c>
      <c r="E145" t="s">
        <v>25</v>
      </c>
      <c r="F145" t="s">
        <v>26</v>
      </c>
      <c r="G145">
        <v>638</v>
      </c>
      <c r="H145">
        <v>357</v>
      </c>
      <c r="I145">
        <v>12946.356400000001</v>
      </c>
      <c r="J145" t="b">
        <v>1</v>
      </c>
      <c r="K145">
        <v>3</v>
      </c>
      <c r="L145" t="b">
        <v>0</v>
      </c>
      <c r="M145">
        <v>71223.126940000002</v>
      </c>
      <c r="N145">
        <v>1723.5</v>
      </c>
      <c r="O145">
        <v>7533</v>
      </c>
      <c r="P145" t="s">
        <v>36</v>
      </c>
      <c r="Q145">
        <v>0.37017696547722656</v>
      </c>
      <c r="R145" t="s">
        <v>40</v>
      </c>
      <c r="S145">
        <v>20.292094670846396</v>
      </c>
      <c r="T145">
        <v>0.22879330943847073</v>
      </c>
      <c r="U145" t="s">
        <v>34</v>
      </c>
      <c r="V145">
        <v>0</v>
      </c>
    </row>
    <row r="146" spans="1:22" x14ac:dyDescent="0.3">
      <c r="A146" s="1">
        <v>44601</v>
      </c>
      <c r="B146" t="s">
        <v>22</v>
      </c>
      <c r="C146" t="s">
        <v>23</v>
      </c>
      <c r="D146" t="s">
        <v>32</v>
      </c>
      <c r="E146" t="s">
        <v>33</v>
      </c>
      <c r="F146" t="s">
        <v>26</v>
      </c>
      <c r="G146">
        <v>343</v>
      </c>
      <c r="H146">
        <v>3090</v>
      </c>
      <c r="I146">
        <v>5712.2370170000004</v>
      </c>
      <c r="J146" t="b">
        <v>1</v>
      </c>
      <c r="K146">
        <v>26</v>
      </c>
      <c r="L146" t="b">
        <v>0</v>
      </c>
      <c r="M146">
        <v>60128.564810000003</v>
      </c>
      <c r="N146">
        <v>3784</v>
      </c>
      <c r="O146">
        <v>9873</v>
      </c>
      <c r="P146" t="s">
        <v>36</v>
      </c>
      <c r="Q146">
        <v>9.0644820295983086E-2</v>
      </c>
      <c r="R146" t="s">
        <v>37</v>
      </c>
      <c r="S146">
        <v>16.653752236151604</v>
      </c>
      <c r="T146">
        <v>0.38326749721462577</v>
      </c>
      <c r="U146" t="s">
        <v>34</v>
      </c>
      <c r="V146">
        <v>0</v>
      </c>
    </row>
    <row r="147" spans="1:22" x14ac:dyDescent="0.3">
      <c r="A147" s="1">
        <v>44602</v>
      </c>
      <c r="B147" t="s">
        <v>22</v>
      </c>
      <c r="C147" t="s">
        <v>23</v>
      </c>
      <c r="D147" t="s">
        <v>35</v>
      </c>
      <c r="E147" t="s">
        <v>45</v>
      </c>
      <c r="F147" t="s">
        <v>26</v>
      </c>
      <c r="G147">
        <v>672</v>
      </c>
      <c r="H147">
        <v>4478</v>
      </c>
      <c r="I147">
        <v>1660.264911</v>
      </c>
      <c r="J147" t="b">
        <v>1</v>
      </c>
      <c r="K147">
        <v>25</v>
      </c>
      <c r="L147" t="b">
        <v>0</v>
      </c>
      <c r="M147">
        <v>121999.5297</v>
      </c>
      <c r="N147">
        <v>2809</v>
      </c>
      <c r="O147">
        <v>5235</v>
      </c>
      <c r="P147" t="s">
        <v>27</v>
      </c>
      <c r="Q147">
        <v>0.23923104307582771</v>
      </c>
      <c r="R147" t="s">
        <v>37</v>
      </c>
      <c r="S147">
        <v>2.4706323080357144</v>
      </c>
      <c r="T147">
        <v>0.53658070678127989</v>
      </c>
      <c r="U147" t="s">
        <v>29</v>
      </c>
      <c r="V147">
        <v>0</v>
      </c>
    </row>
    <row r="148" spans="1:22" x14ac:dyDescent="0.3">
      <c r="A148" s="1">
        <v>44603</v>
      </c>
      <c r="B148" t="s">
        <v>30</v>
      </c>
      <c r="C148" t="s">
        <v>44</v>
      </c>
      <c r="D148" t="s">
        <v>32</v>
      </c>
      <c r="E148" t="s">
        <v>25</v>
      </c>
      <c r="F148" t="s">
        <v>26</v>
      </c>
      <c r="G148">
        <v>445</v>
      </c>
      <c r="H148">
        <v>1140</v>
      </c>
      <c r="I148">
        <v>11164.221159999999</v>
      </c>
      <c r="J148" t="b">
        <v>1</v>
      </c>
      <c r="K148">
        <v>15</v>
      </c>
      <c r="L148" t="b">
        <v>0</v>
      </c>
      <c r="M148">
        <v>27504.484639999999</v>
      </c>
      <c r="N148">
        <v>1808</v>
      </c>
      <c r="O148">
        <v>5405</v>
      </c>
      <c r="P148" t="s">
        <v>36</v>
      </c>
      <c r="Q148">
        <v>0.2461283185840708</v>
      </c>
      <c r="R148" t="s">
        <v>37</v>
      </c>
      <c r="S148">
        <v>25.088137438202246</v>
      </c>
      <c r="T148">
        <v>0.33450508788159111</v>
      </c>
      <c r="U148" t="s">
        <v>34</v>
      </c>
      <c r="V148">
        <v>0</v>
      </c>
    </row>
    <row r="149" spans="1:22" x14ac:dyDescent="0.3">
      <c r="A149" s="1">
        <v>44604</v>
      </c>
      <c r="B149" t="s">
        <v>30</v>
      </c>
      <c r="C149" t="s">
        <v>31</v>
      </c>
      <c r="D149" t="s">
        <v>32</v>
      </c>
      <c r="E149" t="s">
        <v>25</v>
      </c>
      <c r="F149" t="s">
        <v>26</v>
      </c>
      <c r="G149">
        <v>567</v>
      </c>
      <c r="H149">
        <v>2476</v>
      </c>
      <c r="I149">
        <v>11081.672420000001</v>
      </c>
      <c r="J149" t="b">
        <v>1</v>
      </c>
      <c r="K149">
        <v>24</v>
      </c>
      <c r="L149" t="b">
        <v>1</v>
      </c>
      <c r="M149">
        <v>75902.468959999998</v>
      </c>
      <c r="N149">
        <v>1445</v>
      </c>
      <c r="O149">
        <v>8444</v>
      </c>
      <c r="P149" t="s">
        <v>27</v>
      </c>
      <c r="Q149">
        <v>0.39238754325259517</v>
      </c>
      <c r="R149" t="s">
        <v>37</v>
      </c>
      <c r="S149">
        <v>19.544395802469136</v>
      </c>
      <c r="T149">
        <v>0.17112742775935574</v>
      </c>
      <c r="U149" t="s">
        <v>34</v>
      </c>
      <c r="V149">
        <v>1</v>
      </c>
    </row>
    <row r="150" spans="1:22" x14ac:dyDescent="0.3">
      <c r="A150" s="1">
        <v>44605</v>
      </c>
      <c r="B150" t="s">
        <v>22</v>
      </c>
      <c r="C150" t="s">
        <v>31</v>
      </c>
      <c r="D150" t="s">
        <v>24</v>
      </c>
      <c r="E150" t="s">
        <v>45</v>
      </c>
      <c r="F150" t="s">
        <v>26</v>
      </c>
      <c r="G150">
        <v>84</v>
      </c>
      <c r="H150">
        <v>414</v>
      </c>
      <c r="I150">
        <v>13662.3866</v>
      </c>
      <c r="J150" t="b">
        <v>0</v>
      </c>
      <c r="K150">
        <v>24</v>
      </c>
      <c r="L150" t="b">
        <v>0</v>
      </c>
      <c r="M150">
        <v>11800.287420000001</v>
      </c>
      <c r="N150">
        <v>2069.5</v>
      </c>
      <c r="O150">
        <v>7826</v>
      </c>
      <c r="P150" t="s">
        <v>36</v>
      </c>
      <c r="Q150">
        <v>4.0589514375453009E-2</v>
      </c>
      <c r="R150" t="s">
        <v>37</v>
      </c>
      <c r="S150">
        <v>162.64745952380952</v>
      </c>
      <c r="T150">
        <v>0.26443904932277024</v>
      </c>
      <c r="U150" t="s">
        <v>34</v>
      </c>
      <c r="V150">
        <v>0</v>
      </c>
    </row>
    <row r="151" spans="1:22" x14ac:dyDescent="0.3">
      <c r="A151" s="1">
        <v>44606</v>
      </c>
      <c r="B151" t="s">
        <v>38</v>
      </c>
      <c r="C151" t="s">
        <v>41</v>
      </c>
      <c r="D151" t="s">
        <v>32</v>
      </c>
      <c r="E151" t="s">
        <v>45</v>
      </c>
      <c r="F151" t="s">
        <v>39</v>
      </c>
      <c r="G151">
        <v>78</v>
      </c>
      <c r="H151">
        <v>3725</v>
      </c>
      <c r="I151">
        <v>10304.28134</v>
      </c>
      <c r="J151" t="b">
        <v>1</v>
      </c>
      <c r="K151">
        <v>9</v>
      </c>
      <c r="L151" t="b">
        <v>0</v>
      </c>
      <c r="M151">
        <v>6624.8983410000001</v>
      </c>
      <c r="N151">
        <v>2263.5</v>
      </c>
      <c r="O151">
        <v>8484</v>
      </c>
      <c r="P151" t="s">
        <v>27</v>
      </c>
      <c r="Q151">
        <v>3.4459907223326709E-2</v>
      </c>
      <c r="R151" t="s">
        <v>28</v>
      </c>
      <c r="S151">
        <v>132.10617102564103</v>
      </c>
      <c r="T151">
        <v>0.26679632248939178</v>
      </c>
      <c r="U151" t="s">
        <v>34</v>
      </c>
      <c r="V151">
        <v>0</v>
      </c>
    </row>
    <row r="152" spans="1:22" x14ac:dyDescent="0.3">
      <c r="A152" s="1">
        <v>44607</v>
      </c>
      <c r="B152" t="s">
        <v>22</v>
      </c>
      <c r="C152" t="s">
        <v>41</v>
      </c>
      <c r="D152" t="s">
        <v>32</v>
      </c>
      <c r="E152" t="s">
        <v>33</v>
      </c>
      <c r="F152" t="s">
        <v>26</v>
      </c>
      <c r="G152">
        <v>397</v>
      </c>
      <c r="H152">
        <v>802</v>
      </c>
      <c r="I152">
        <v>14416.8649</v>
      </c>
      <c r="J152" t="b">
        <v>1</v>
      </c>
      <c r="K152">
        <v>13</v>
      </c>
      <c r="L152" t="b">
        <v>1</v>
      </c>
      <c r="M152">
        <v>30631.812699999999</v>
      </c>
      <c r="N152">
        <v>2045.5</v>
      </c>
      <c r="O152">
        <v>7417</v>
      </c>
      <c r="P152" t="s">
        <v>36</v>
      </c>
      <c r="Q152">
        <v>0.19408457589831338</v>
      </c>
      <c r="R152" t="s">
        <v>28</v>
      </c>
      <c r="S152">
        <v>36.314521158690177</v>
      </c>
      <c r="T152">
        <v>0.27578535796143994</v>
      </c>
      <c r="U152" t="s">
        <v>34</v>
      </c>
      <c r="V152">
        <v>1</v>
      </c>
    </row>
    <row r="153" spans="1:22" x14ac:dyDescent="0.3">
      <c r="A153" s="1">
        <v>44608</v>
      </c>
      <c r="B153" t="s">
        <v>22</v>
      </c>
      <c r="C153" t="s">
        <v>23</v>
      </c>
      <c r="D153" t="s">
        <v>32</v>
      </c>
      <c r="E153" t="s">
        <v>45</v>
      </c>
      <c r="F153" t="s">
        <v>26</v>
      </c>
      <c r="G153">
        <v>827</v>
      </c>
      <c r="H153">
        <v>3289</v>
      </c>
      <c r="I153">
        <v>7339.6321200000002</v>
      </c>
      <c r="J153" t="b">
        <v>1</v>
      </c>
      <c r="K153">
        <v>23</v>
      </c>
      <c r="L153" t="b">
        <v>0</v>
      </c>
      <c r="M153">
        <v>88254.172810000004</v>
      </c>
      <c r="N153">
        <v>1946</v>
      </c>
      <c r="O153">
        <v>9645</v>
      </c>
      <c r="P153" t="s">
        <v>27</v>
      </c>
      <c r="Q153">
        <v>0.4249743062692703</v>
      </c>
      <c r="R153" t="s">
        <v>37</v>
      </c>
      <c r="S153">
        <v>8.8750086094316814</v>
      </c>
      <c r="T153">
        <v>0.20176257128045619</v>
      </c>
      <c r="U153" t="s">
        <v>34</v>
      </c>
      <c r="V153">
        <v>0</v>
      </c>
    </row>
    <row r="154" spans="1:22" x14ac:dyDescent="0.3">
      <c r="A154" s="1">
        <v>44609</v>
      </c>
      <c r="B154" t="s">
        <v>22</v>
      </c>
      <c r="C154" t="s">
        <v>31</v>
      </c>
      <c r="D154" t="s">
        <v>35</v>
      </c>
      <c r="E154" t="s">
        <v>45</v>
      </c>
      <c r="F154" t="s">
        <v>26</v>
      </c>
      <c r="G154">
        <v>388</v>
      </c>
      <c r="H154">
        <v>603</v>
      </c>
      <c r="I154">
        <v>9596.0549869999995</v>
      </c>
      <c r="J154" t="b">
        <v>1</v>
      </c>
      <c r="K154">
        <v>19</v>
      </c>
      <c r="L154" t="b">
        <v>0</v>
      </c>
      <c r="M154">
        <v>29558.423460000002</v>
      </c>
      <c r="N154">
        <v>1512.5</v>
      </c>
      <c r="O154">
        <v>5524</v>
      </c>
      <c r="P154" t="s">
        <v>36</v>
      </c>
      <c r="Q154">
        <v>0.2565289256198347</v>
      </c>
      <c r="R154" t="s">
        <v>37</v>
      </c>
      <c r="S154">
        <v>24.73210048195876</v>
      </c>
      <c r="T154">
        <v>0.27380521361332366</v>
      </c>
      <c r="U154" t="s">
        <v>34</v>
      </c>
      <c r="V154">
        <v>0</v>
      </c>
    </row>
    <row r="155" spans="1:22" x14ac:dyDescent="0.3">
      <c r="A155" s="1">
        <v>44610</v>
      </c>
      <c r="B155" t="s">
        <v>30</v>
      </c>
      <c r="C155" t="s">
        <v>41</v>
      </c>
      <c r="D155" t="s">
        <v>35</v>
      </c>
      <c r="E155" t="s">
        <v>25</v>
      </c>
      <c r="F155" t="s">
        <v>26</v>
      </c>
      <c r="G155">
        <v>436</v>
      </c>
      <c r="H155">
        <v>2422</v>
      </c>
      <c r="I155">
        <v>11189.678739999999</v>
      </c>
      <c r="J155" t="b">
        <v>1</v>
      </c>
      <c r="K155">
        <v>17</v>
      </c>
      <c r="L155" t="b">
        <v>0</v>
      </c>
      <c r="M155">
        <v>47476.244619999998</v>
      </c>
      <c r="N155">
        <v>2539</v>
      </c>
      <c r="O155">
        <v>6719</v>
      </c>
      <c r="P155" t="s">
        <v>36</v>
      </c>
      <c r="Q155">
        <v>0.17172115005907837</v>
      </c>
      <c r="R155" t="s">
        <v>37</v>
      </c>
      <c r="S155">
        <v>25.664400779816511</v>
      </c>
      <c r="T155">
        <v>0.37788361363298112</v>
      </c>
      <c r="U155" t="s">
        <v>34</v>
      </c>
      <c r="V155">
        <v>0</v>
      </c>
    </row>
    <row r="156" spans="1:22" x14ac:dyDescent="0.3">
      <c r="A156" s="1">
        <v>44611</v>
      </c>
      <c r="B156" t="s">
        <v>30</v>
      </c>
      <c r="C156" t="s">
        <v>44</v>
      </c>
      <c r="D156" t="s">
        <v>46</v>
      </c>
      <c r="E156" t="s">
        <v>25</v>
      </c>
      <c r="F156" t="s">
        <v>26</v>
      </c>
      <c r="G156">
        <v>928</v>
      </c>
      <c r="H156">
        <v>2656</v>
      </c>
      <c r="I156">
        <v>8287.7101060000005</v>
      </c>
      <c r="J156" t="b">
        <v>1</v>
      </c>
      <c r="K156">
        <v>24</v>
      </c>
      <c r="L156" t="b">
        <v>0</v>
      </c>
      <c r="M156">
        <v>92476.783760000006</v>
      </c>
      <c r="N156">
        <v>1802</v>
      </c>
      <c r="O156">
        <v>8138</v>
      </c>
      <c r="P156" t="s">
        <v>27</v>
      </c>
      <c r="Q156">
        <v>0.51498335183129851</v>
      </c>
      <c r="R156" t="s">
        <v>37</v>
      </c>
      <c r="S156">
        <v>8.930722096982759</v>
      </c>
      <c r="T156">
        <v>0.22143032686163677</v>
      </c>
      <c r="U156" t="s">
        <v>34</v>
      </c>
      <c r="V156">
        <v>0</v>
      </c>
    </row>
    <row r="157" spans="1:22" x14ac:dyDescent="0.3">
      <c r="A157" s="1">
        <v>44612</v>
      </c>
      <c r="B157" t="s">
        <v>38</v>
      </c>
      <c r="C157" t="s">
        <v>23</v>
      </c>
      <c r="D157" t="s">
        <v>46</v>
      </c>
      <c r="E157" t="s">
        <v>25</v>
      </c>
      <c r="F157" t="s">
        <v>26</v>
      </c>
      <c r="G157">
        <v>172</v>
      </c>
      <c r="H157">
        <v>948</v>
      </c>
      <c r="I157">
        <v>3536.556227</v>
      </c>
      <c r="J157" t="b">
        <v>1</v>
      </c>
      <c r="K157">
        <v>15</v>
      </c>
      <c r="L157" t="b">
        <v>0</v>
      </c>
      <c r="M157">
        <v>8522.0140479999991</v>
      </c>
      <c r="N157">
        <v>1648</v>
      </c>
      <c r="O157">
        <v>5571</v>
      </c>
      <c r="P157" t="s">
        <v>36</v>
      </c>
      <c r="Q157">
        <v>0.10436893203883495</v>
      </c>
      <c r="R157" t="s">
        <v>37</v>
      </c>
      <c r="S157">
        <v>20.561373412790697</v>
      </c>
      <c r="T157">
        <v>0.29581762699694847</v>
      </c>
      <c r="U157" t="s">
        <v>34</v>
      </c>
      <c r="V157">
        <v>0</v>
      </c>
    </row>
    <row r="158" spans="1:22" x14ac:dyDescent="0.3">
      <c r="A158" s="1">
        <v>44613</v>
      </c>
      <c r="B158" t="s">
        <v>22</v>
      </c>
      <c r="C158" t="s">
        <v>44</v>
      </c>
      <c r="D158" t="s">
        <v>32</v>
      </c>
      <c r="E158" t="s">
        <v>25</v>
      </c>
      <c r="F158" t="s">
        <v>43</v>
      </c>
      <c r="G158">
        <v>974</v>
      </c>
      <c r="H158">
        <v>2348</v>
      </c>
      <c r="I158">
        <v>11334.924000000001</v>
      </c>
      <c r="J158" t="b">
        <v>1</v>
      </c>
      <c r="K158">
        <v>7</v>
      </c>
      <c r="L158" t="b">
        <v>0</v>
      </c>
      <c r="M158">
        <v>160850.2078</v>
      </c>
      <c r="N158">
        <v>1410</v>
      </c>
      <c r="O158">
        <v>9802</v>
      </c>
      <c r="P158" t="s">
        <v>27</v>
      </c>
      <c r="Q158">
        <v>0.69078014184397163</v>
      </c>
      <c r="R158" t="s">
        <v>40</v>
      </c>
      <c r="S158">
        <v>11.637498973305956</v>
      </c>
      <c r="T158">
        <v>0.14384819424607223</v>
      </c>
      <c r="U158" t="s">
        <v>34</v>
      </c>
      <c r="V158">
        <v>0</v>
      </c>
    </row>
    <row r="159" spans="1:22" x14ac:dyDescent="0.3">
      <c r="A159" s="1">
        <v>44614</v>
      </c>
      <c r="B159" t="s">
        <v>30</v>
      </c>
      <c r="C159" t="s">
        <v>41</v>
      </c>
      <c r="D159" t="s">
        <v>24</v>
      </c>
      <c r="E159" t="s">
        <v>25</v>
      </c>
      <c r="F159" t="s">
        <v>26</v>
      </c>
      <c r="G159">
        <v>832</v>
      </c>
      <c r="H159">
        <v>472</v>
      </c>
      <c r="I159">
        <v>9643.0624480000006</v>
      </c>
      <c r="J159" t="b">
        <v>1</v>
      </c>
      <c r="K159">
        <v>18</v>
      </c>
      <c r="L159" t="b">
        <v>0</v>
      </c>
      <c r="M159">
        <v>116670.2069</v>
      </c>
      <c r="N159">
        <v>2312</v>
      </c>
      <c r="O159">
        <v>8284</v>
      </c>
      <c r="P159" t="s">
        <v>36</v>
      </c>
      <c r="Q159">
        <v>0.35986159169550175</v>
      </c>
      <c r="R159" t="s">
        <v>37</v>
      </c>
      <c r="S159">
        <v>11.590219288461538</v>
      </c>
      <c r="T159">
        <v>0.27909222597778849</v>
      </c>
      <c r="U159" t="s">
        <v>34</v>
      </c>
      <c r="V159">
        <v>0</v>
      </c>
    </row>
    <row r="160" spans="1:22" x14ac:dyDescent="0.3">
      <c r="A160" s="1">
        <v>44615</v>
      </c>
      <c r="B160" t="s">
        <v>38</v>
      </c>
      <c r="C160" t="s">
        <v>31</v>
      </c>
      <c r="D160" t="s">
        <v>24</v>
      </c>
      <c r="E160" t="s">
        <v>25</v>
      </c>
      <c r="F160" t="s">
        <v>43</v>
      </c>
      <c r="G160">
        <v>939</v>
      </c>
      <c r="H160">
        <v>4152</v>
      </c>
      <c r="I160">
        <v>12892.7881</v>
      </c>
      <c r="J160" t="b">
        <v>1</v>
      </c>
      <c r="K160">
        <v>16</v>
      </c>
      <c r="L160" t="b">
        <v>0</v>
      </c>
      <c r="M160">
        <v>64415.745609999998</v>
      </c>
      <c r="N160">
        <v>4094.5</v>
      </c>
      <c r="O160">
        <v>9967</v>
      </c>
      <c r="P160" t="s">
        <v>27</v>
      </c>
      <c r="Q160">
        <v>0.22933203077298817</v>
      </c>
      <c r="R160" t="s">
        <v>37</v>
      </c>
      <c r="S160">
        <v>13.730338764643237</v>
      </c>
      <c r="T160">
        <v>0.41080565867362295</v>
      </c>
      <c r="U160" t="s">
        <v>29</v>
      </c>
      <c r="V160">
        <v>0</v>
      </c>
    </row>
    <row r="161" spans="1:22" x14ac:dyDescent="0.3">
      <c r="A161" s="1">
        <v>44616</v>
      </c>
      <c r="B161" t="s">
        <v>22</v>
      </c>
      <c r="C161" t="s">
        <v>41</v>
      </c>
      <c r="D161" t="s">
        <v>35</v>
      </c>
      <c r="E161" t="s">
        <v>45</v>
      </c>
      <c r="F161" t="s">
        <v>39</v>
      </c>
      <c r="G161">
        <v>856</v>
      </c>
      <c r="H161">
        <v>4037</v>
      </c>
      <c r="I161">
        <v>1817.7098060000001</v>
      </c>
      <c r="J161" t="b">
        <v>1</v>
      </c>
      <c r="K161">
        <v>1</v>
      </c>
      <c r="L161" t="b">
        <v>0</v>
      </c>
      <c r="M161">
        <v>154058.046</v>
      </c>
      <c r="N161">
        <v>3434</v>
      </c>
      <c r="O161">
        <v>6779</v>
      </c>
      <c r="P161" t="s">
        <v>27</v>
      </c>
      <c r="Q161">
        <v>0.24927198602213163</v>
      </c>
      <c r="R161" t="s">
        <v>40</v>
      </c>
      <c r="S161">
        <v>2.1234927640186916</v>
      </c>
      <c r="T161">
        <v>0.50656439002802778</v>
      </c>
      <c r="U161" t="s">
        <v>29</v>
      </c>
      <c r="V161">
        <v>0</v>
      </c>
    </row>
    <row r="162" spans="1:22" x14ac:dyDescent="0.3">
      <c r="A162" s="1">
        <v>44617</v>
      </c>
      <c r="B162" t="s">
        <v>30</v>
      </c>
      <c r="C162" t="s">
        <v>41</v>
      </c>
      <c r="D162" t="s">
        <v>24</v>
      </c>
      <c r="E162" t="s">
        <v>45</v>
      </c>
      <c r="F162" t="s">
        <v>26</v>
      </c>
      <c r="G162">
        <v>300</v>
      </c>
      <c r="H162">
        <v>2831</v>
      </c>
      <c r="I162">
        <v>941.63821700000005</v>
      </c>
      <c r="J162" t="b">
        <v>1</v>
      </c>
      <c r="K162">
        <v>14</v>
      </c>
      <c r="L162" t="b">
        <v>0</v>
      </c>
      <c r="M162">
        <v>6117.9411030000001</v>
      </c>
      <c r="N162">
        <v>3503.5</v>
      </c>
      <c r="O162">
        <v>5746</v>
      </c>
      <c r="P162" t="s">
        <v>36</v>
      </c>
      <c r="Q162">
        <v>8.5628657057228483E-2</v>
      </c>
      <c r="R162" t="s">
        <v>28</v>
      </c>
      <c r="S162">
        <v>3.1387940566666668</v>
      </c>
      <c r="T162">
        <v>0.60972850678733037</v>
      </c>
      <c r="U162" t="s">
        <v>29</v>
      </c>
      <c r="V162">
        <v>0</v>
      </c>
    </row>
    <row r="163" spans="1:22" x14ac:dyDescent="0.3">
      <c r="A163" s="1">
        <v>44618</v>
      </c>
      <c r="B163" t="s">
        <v>22</v>
      </c>
      <c r="C163" t="s">
        <v>23</v>
      </c>
      <c r="D163" t="s">
        <v>35</v>
      </c>
      <c r="E163" t="s">
        <v>25</v>
      </c>
      <c r="F163" t="s">
        <v>26</v>
      </c>
      <c r="G163">
        <v>379</v>
      </c>
      <c r="H163">
        <v>4176</v>
      </c>
      <c r="I163">
        <v>13174.58221</v>
      </c>
      <c r="J163" t="b">
        <v>1</v>
      </c>
      <c r="K163">
        <v>16</v>
      </c>
      <c r="L163" t="b">
        <v>0</v>
      </c>
      <c r="M163">
        <v>60206.953849999998</v>
      </c>
      <c r="N163">
        <v>2636.5</v>
      </c>
      <c r="O163">
        <v>6267</v>
      </c>
      <c r="P163" t="s">
        <v>27</v>
      </c>
      <c r="Q163">
        <v>0.14375118528351982</v>
      </c>
      <c r="R163" t="s">
        <v>37</v>
      </c>
      <c r="S163">
        <v>34.761430633245382</v>
      </c>
      <c r="T163">
        <v>0.42069570767512365</v>
      </c>
      <c r="U163" t="s">
        <v>29</v>
      </c>
      <c r="V163">
        <v>0</v>
      </c>
    </row>
    <row r="164" spans="1:22" x14ac:dyDescent="0.3">
      <c r="A164" s="1">
        <v>44619</v>
      </c>
      <c r="B164" t="s">
        <v>30</v>
      </c>
      <c r="C164" t="s">
        <v>31</v>
      </c>
      <c r="D164" t="s">
        <v>35</v>
      </c>
      <c r="E164" t="s">
        <v>45</v>
      </c>
      <c r="F164" t="s">
        <v>26</v>
      </c>
      <c r="G164">
        <v>492</v>
      </c>
      <c r="H164">
        <v>1097</v>
      </c>
      <c r="I164">
        <v>3496.3261809999999</v>
      </c>
      <c r="J164" t="b">
        <v>1</v>
      </c>
      <c r="K164">
        <v>8</v>
      </c>
      <c r="L164" t="b">
        <v>0</v>
      </c>
      <c r="M164">
        <v>53742.184910000004</v>
      </c>
      <c r="N164">
        <v>2764.5</v>
      </c>
      <c r="O164">
        <v>5466</v>
      </c>
      <c r="P164" t="s">
        <v>36</v>
      </c>
      <c r="Q164">
        <v>0.17797069994574063</v>
      </c>
      <c r="R164" t="s">
        <v>28</v>
      </c>
      <c r="S164">
        <v>7.106354026422764</v>
      </c>
      <c r="T164">
        <v>0.50576289791437978</v>
      </c>
      <c r="U164" t="s">
        <v>29</v>
      </c>
      <c r="V164">
        <v>0</v>
      </c>
    </row>
    <row r="165" spans="1:22" x14ac:dyDescent="0.3">
      <c r="A165" s="1">
        <v>44620</v>
      </c>
      <c r="B165" t="s">
        <v>42</v>
      </c>
      <c r="C165" t="s">
        <v>31</v>
      </c>
      <c r="D165" t="s">
        <v>24</v>
      </c>
      <c r="E165" t="s">
        <v>45</v>
      </c>
      <c r="F165" t="s">
        <v>26</v>
      </c>
      <c r="G165">
        <v>529</v>
      </c>
      <c r="H165">
        <v>4432</v>
      </c>
      <c r="I165">
        <v>13885.946319999999</v>
      </c>
      <c r="J165" t="b">
        <v>1</v>
      </c>
      <c r="K165">
        <v>14</v>
      </c>
      <c r="L165" t="b">
        <v>0</v>
      </c>
      <c r="M165">
        <v>105765.3043</v>
      </c>
      <c r="N165">
        <v>4633</v>
      </c>
      <c r="O165">
        <v>9189</v>
      </c>
      <c r="P165" t="s">
        <v>36</v>
      </c>
      <c r="Q165">
        <v>0.11418087632203755</v>
      </c>
      <c r="R165" t="s">
        <v>28</v>
      </c>
      <c r="S165">
        <v>26.249425935727785</v>
      </c>
      <c r="T165">
        <v>0.50418979214277937</v>
      </c>
      <c r="U165" t="s">
        <v>29</v>
      </c>
      <c r="V165">
        <v>0</v>
      </c>
    </row>
    <row r="166" spans="1:22" x14ac:dyDescent="0.3">
      <c r="A166" s="1">
        <v>44621</v>
      </c>
      <c r="B166" t="s">
        <v>38</v>
      </c>
      <c r="C166" t="s">
        <v>23</v>
      </c>
      <c r="D166" t="s">
        <v>35</v>
      </c>
      <c r="E166" t="s">
        <v>45</v>
      </c>
      <c r="F166" t="s">
        <v>43</v>
      </c>
      <c r="G166">
        <v>102</v>
      </c>
      <c r="H166">
        <v>4834</v>
      </c>
      <c r="I166">
        <v>5558.6210410000003</v>
      </c>
      <c r="J166" t="b">
        <v>1</v>
      </c>
      <c r="K166">
        <v>14</v>
      </c>
      <c r="L166" t="b">
        <v>0</v>
      </c>
      <c r="M166">
        <v>6167.5648350000001</v>
      </c>
      <c r="N166">
        <v>3055</v>
      </c>
      <c r="O166">
        <v>8728</v>
      </c>
      <c r="P166" t="s">
        <v>27</v>
      </c>
      <c r="Q166">
        <v>3.3387888707037641E-2</v>
      </c>
      <c r="R166" t="s">
        <v>28</v>
      </c>
      <c r="S166">
        <v>54.496284715686279</v>
      </c>
      <c r="T166">
        <v>0.35002291475710356</v>
      </c>
      <c r="U166" t="s">
        <v>34</v>
      </c>
      <c r="V166">
        <v>0</v>
      </c>
    </row>
    <row r="167" spans="1:22" x14ac:dyDescent="0.3">
      <c r="A167" s="1">
        <v>44622</v>
      </c>
      <c r="B167" t="s">
        <v>22</v>
      </c>
      <c r="C167" t="s">
        <v>41</v>
      </c>
      <c r="D167" t="s">
        <v>32</v>
      </c>
      <c r="E167" t="s">
        <v>45</v>
      </c>
      <c r="F167" t="s">
        <v>26</v>
      </c>
      <c r="G167">
        <v>603</v>
      </c>
      <c r="H167">
        <v>1276</v>
      </c>
      <c r="I167">
        <v>4550.5052690000002</v>
      </c>
      <c r="J167" t="b">
        <v>1</v>
      </c>
      <c r="K167">
        <v>1</v>
      </c>
      <c r="L167" t="b">
        <v>0</v>
      </c>
      <c r="M167">
        <v>114989.50019999999</v>
      </c>
      <c r="N167">
        <v>2385</v>
      </c>
      <c r="O167">
        <v>6320</v>
      </c>
      <c r="P167" t="s">
        <v>36</v>
      </c>
      <c r="Q167">
        <v>0.25283018867924528</v>
      </c>
      <c r="R167" t="s">
        <v>40</v>
      </c>
      <c r="S167">
        <v>7.5464432321724715</v>
      </c>
      <c r="T167">
        <v>0.377373417721519</v>
      </c>
      <c r="U167" t="s">
        <v>34</v>
      </c>
      <c r="V167">
        <v>0</v>
      </c>
    </row>
    <row r="168" spans="1:22" x14ac:dyDescent="0.3">
      <c r="A168" s="1">
        <v>44623</v>
      </c>
      <c r="B168" t="s">
        <v>38</v>
      </c>
      <c r="C168" t="s">
        <v>31</v>
      </c>
      <c r="D168" t="s">
        <v>35</v>
      </c>
      <c r="E168" t="s">
        <v>45</v>
      </c>
      <c r="F168" t="s">
        <v>26</v>
      </c>
      <c r="G168">
        <v>246</v>
      </c>
      <c r="H168">
        <v>3494</v>
      </c>
      <c r="I168">
        <v>8614.4444070000009</v>
      </c>
      <c r="J168" t="b">
        <v>1</v>
      </c>
      <c r="K168">
        <v>14</v>
      </c>
      <c r="L168" t="b">
        <v>0</v>
      </c>
      <c r="M168">
        <v>10127.311019999999</v>
      </c>
      <c r="N168">
        <v>2072.5</v>
      </c>
      <c r="O168">
        <v>5324</v>
      </c>
      <c r="P168" t="s">
        <v>27</v>
      </c>
      <c r="Q168">
        <v>0.11869722557297949</v>
      </c>
      <c r="R168" t="s">
        <v>28</v>
      </c>
      <c r="S168">
        <v>35.018066695121952</v>
      </c>
      <c r="T168">
        <v>0.38927498121713</v>
      </c>
      <c r="U168" t="s">
        <v>34</v>
      </c>
      <c r="V168">
        <v>0</v>
      </c>
    </row>
    <row r="169" spans="1:22" x14ac:dyDescent="0.3">
      <c r="A169" s="1">
        <v>44624</v>
      </c>
      <c r="B169" t="s">
        <v>22</v>
      </c>
      <c r="C169" t="s">
        <v>44</v>
      </c>
      <c r="D169" t="s">
        <v>24</v>
      </c>
      <c r="E169" t="s">
        <v>33</v>
      </c>
      <c r="F169" t="s">
        <v>39</v>
      </c>
      <c r="G169">
        <v>776</v>
      </c>
      <c r="H169">
        <v>651</v>
      </c>
      <c r="I169">
        <v>4658.1197249999996</v>
      </c>
      <c r="J169" t="b">
        <v>1</v>
      </c>
      <c r="K169">
        <v>12</v>
      </c>
      <c r="L169" t="b">
        <v>1</v>
      </c>
      <c r="M169">
        <v>105723.9972</v>
      </c>
      <c r="N169">
        <v>2795.5</v>
      </c>
      <c r="O169">
        <v>5422</v>
      </c>
      <c r="P169" t="s">
        <v>36</v>
      </c>
      <c r="Q169">
        <v>0.27758898229297085</v>
      </c>
      <c r="R169" t="s">
        <v>28</v>
      </c>
      <c r="S169">
        <v>6.0027316043814425</v>
      </c>
      <c r="T169">
        <v>0.5155846551088159</v>
      </c>
      <c r="U169" t="s">
        <v>29</v>
      </c>
      <c r="V169">
        <v>1</v>
      </c>
    </row>
    <row r="170" spans="1:22" x14ac:dyDescent="0.3">
      <c r="A170" s="1">
        <v>44625</v>
      </c>
      <c r="B170" t="s">
        <v>42</v>
      </c>
      <c r="C170" t="s">
        <v>41</v>
      </c>
      <c r="D170" t="s">
        <v>46</v>
      </c>
      <c r="E170" t="s">
        <v>45</v>
      </c>
      <c r="F170" t="s">
        <v>26</v>
      </c>
      <c r="G170">
        <v>502</v>
      </c>
      <c r="H170">
        <v>4940</v>
      </c>
      <c r="I170">
        <v>10046.79413</v>
      </c>
      <c r="J170" t="b">
        <v>1</v>
      </c>
      <c r="K170">
        <v>29</v>
      </c>
      <c r="L170" t="b">
        <v>0</v>
      </c>
      <c r="M170">
        <v>33580.356370000001</v>
      </c>
      <c r="N170">
        <v>4706</v>
      </c>
      <c r="O170">
        <v>6398</v>
      </c>
      <c r="P170" t="s">
        <v>27</v>
      </c>
      <c r="Q170">
        <v>0.1066723331916702</v>
      </c>
      <c r="R170" t="s">
        <v>37</v>
      </c>
      <c r="S170">
        <v>20.013534123505977</v>
      </c>
      <c r="T170">
        <v>0.73554235698655834</v>
      </c>
      <c r="U170" t="s">
        <v>29</v>
      </c>
      <c r="V170">
        <v>0</v>
      </c>
    </row>
    <row r="171" spans="1:22" x14ac:dyDescent="0.3">
      <c r="A171" s="1">
        <v>44626</v>
      </c>
      <c r="B171" t="s">
        <v>30</v>
      </c>
      <c r="C171" t="s">
        <v>44</v>
      </c>
      <c r="D171" t="s">
        <v>35</v>
      </c>
      <c r="E171" t="s">
        <v>33</v>
      </c>
      <c r="F171" t="s">
        <v>26</v>
      </c>
      <c r="G171">
        <v>465</v>
      </c>
      <c r="H171">
        <v>4472</v>
      </c>
      <c r="I171">
        <v>1021.503465</v>
      </c>
      <c r="J171" t="b">
        <v>1</v>
      </c>
      <c r="K171">
        <v>10</v>
      </c>
      <c r="L171" t="b">
        <v>0</v>
      </c>
      <c r="M171">
        <v>30409.144240000001</v>
      </c>
      <c r="N171">
        <v>4034.5</v>
      </c>
      <c r="O171">
        <v>6586</v>
      </c>
      <c r="P171" t="s">
        <v>27</v>
      </c>
      <c r="Q171">
        <v>0.11525591770975338</v>
      </c>
      <c r="R171" t="s">
        <v>28</v>
      </c>
      <c r="S171">
        <v>2.1967816451612903</v>
      </c>
      <c r="T171">
        <v>0.61258730640753112</v>
      </c>
      <c r="U171" t="s">
        <v>29</v>
      </c>
      <c r="V171">
        <v>0</v>
      </c>
    </row>
    <row r="172" spans="1:22" x14ac:dyDescent="0.3">
      <c r="A172" s="1">
        <v>44627</v>
      </c>
      <c r="B172" t="s">
        <v>22</v>
      </c>
      <c r="C172" t="s">
        <v>23</v>
      </c>
      <c r="D172" t="s">
        <v>46</v>
      </c>
      <c r="E172" t="s">
        <v>25</v>
      </c>
      <c r="F172" t="s">
        <v>26</v>
      </c>
      <c r="G172">
        <v>711</v>
      </c>
      <c r="H172">
        <v>3597</v>
      </c>
      <c r="I172">
        <v>12696.055979999999</v>
      </c>
      <c r="J172" t="b">
        <v>1</v>
      </c>
      <c r="K172">
        <v>25</v>
      </c>
      <c r="L172" t="b">
        <v>0</v>
      </c>
      <c r="M172">
        <v>108893.1983</v>
      </c>
      <c r="N172">
        <v>2553.5</v>
      </c>
      <c r="O172">
        <v>9112</v>
      </c>
      <c r="P172" t="s">
        <v>27</v>
      </c>
      <c r="Q172">
        <v>0.27844135500293715</v>
      </c>
      <c r="R172" t="s">
        <v>37</v>
      </c>
      <c r="S172">
        <v>17.856618818565401</v>
      </c>
      <c r="T172">
        <v>0.28023485513608426</v>
      </c>
      <c r="U172" t="s">
        <v>34</v>
      </c>
      <c r="V172">
        <v>0</v>
      </c>
    </row>
    <row r="173" spans="1:22" x14ac:dyDescent="0.3">
      <c r="A173" s="1">
        <v>44628</v>
      </c>
      <c r="B173" t="s">
        <v>22</v>
      </c>
      <c r="C173" t="s">
        <v>41</v>
      </c>
      <c r="D173" t="s">
        <v>46</v>
      </c>
      <c r="E173" t="s">
        <v>45</v>
      </c>
      <c r="F173" t="s">
        <v>26</v>
      </c>
      <c r="G173">
        <v>478</v>
      </c>
      <c r="H173">
        <v>1510</v>
      </c>
      <c r="I173">
        <v>14759.1147</v>
      </c>
      <c r="J173" t="b">
        <v>1</v>
      </c>
      <c r="K173">
        <v>28</v>
      </c>
      <c r="L173" t="b">
        <v>0</v>
      </c>
      <c r="M173">
        <v>93606.820179999995</v>
      </c>
      <c r="N173">
        <v>1413</v>
      </c>
      <c r="O173">
        <v>5235</v>
      </c>
      <c r="P173" t="s">
        <v>27</v>
      </c>
      <c r="Q173">
        <v>0.33828733191790517</v>
      </c>
      <c r="R173" t="s">
        <v>37</v>
      </c>
      <c r="S173">
        <v>30.8768089958159</v>
      </c>
      <c r="T173">
        <v>0.26991404011461317</v>
      </c>
      <c r="U173" t="s">
        <v>34</v>
      </c>
      <c r="V173">
        <v>0</v>
      </c>
    </row>
    <row r="174" spans="1:22" x14ac:dyDescent="0.3">
      <c r="A174" s="1">
        <v>44629</v>
      </c>
      <c r="B174" t="s">
        <v>30</v>
      </c>
      <c r="C174" t="s">
        <v>41</v>
      </c>
      <c r="D174" t="s">
        <v>24</v>
      </c>
      <c r="E174" t="s">
        <v>25</v>
      </c>
      <c r="F174" t="s">
        <v>39</v>
      </c>
      <c r="G174">
        <v>314</v>
      </c>
      <c r="H174">
        <v>1316</v>
      </c>
      <c r="I174">
        <v>9311.4417950000006</v>
      </c>
      <c r="J174" t="b">
        <v>1</v>
      </c>
      <c r="K174">
        <v>9</v>
      </c>
      <c r="L174" t="b">
        <v>0</v>
      </c>
      <c r="M174">
        <v>59100.030200000001</v>
      </c>
      <c r="N174">
        <v>1411.5</v>
      </c>
      <c r="O174">
        <v>8438</v>
      </c>
      <c r="P174" t="s">
        <v>36</v>
      </c>
      <c r="Q174">
        <v>0.222458377612469</v>
      </c>
      <c r="R174" t="s">
        <v>28</v>
      </c>
      <c r="S174">
        <v>29.65427323248408</v>
      </c>
      <c r="T174">
        <v>0.16727897606067788</v>
      </c>
      <c r="U174" t="s">
        <v>34</v>
      </c>
      <c r="V174">
        <v>0</v>
      </c>
    </row>
    <row r="175" spans="1:22" x14ac:dyDescent="0.3">
      <c r="A175" s="1">
        <v>44630</v>
      </c>
      <c r="B175" t="s">
        <v>38</v>
      </c>
      <c r="C175" t="s">
        <v>31</v>
      </c>
      <c r="D175" t="s">
        <v>46</v>
      </c>
      <c r="E175" t="s">
        <v>33</v>
      </c>
      <c r="F175" t="s">
        <v>26</v>
      </c>
      <c r="G175">
        <v>482</v>
      </c>
      <c r="H175">
        <v>1507</v>
      </c>
      <c r="I175">
        <v>14462.89092</v>
      </c>
      <c r="J175" t="b">
        <v>1</v>
      </c>
      <c r="K175">
        <v>13</v>
      </c>
      <c r="L175" t="b">
        <v>0</v>
      </c>
      <c r="M175">
        <v>25780.315159999998</v>
      </c>
      <c r="N175">
        <v>2860.5</v>
      </c>
      <c r="O175">
        <v>5988</v>
      </c>
      <c r="P175" t="s">
        <v>36</v>
      </c>
      <c r="Q175">
        <v>0.16850201013808774</v>
      </c>
      <c r="R175" t="s">
        <v>28</v>
      </c>
      <c r="S175">
        <v>30.0059977593361</v>
      </c>
      <c r="T175">
        <v>0.47770541082164331</v>
      </c>
      <c r="U175" t="s">
        <v>29</v>
      </c>
      <c r="V175">
        <v>0</v>
      </c>
    </row>
    <row r="176" spans="1:22" x14ac:dyDescent="0.3">
      <c r="A176" s="1">
        <v>44631</v>
      </c>
      <c r="B176" t="s">
        <v>38</v>
      </c>
      <c r="C176" t="s">
        <v>41</v>
      </c>
      <c r="D176" t="s">
        <v>46</v>
      </c>
      <c r="E176" t="s">
        <v>45</v>
      </c>
      <c r="F176" t="s">
        <v>26</v>
      </c>
      <c r="G176">
        <v>680</v>
      </c>
      <c r="H176">
        <v>4214</v>
      </c>
      <c r="I176">
        <v>8102.5666060000003</v>
      </c>
      <c r="J176" t="b">
        <v>1</v>
      </c>
      <c r="K176">
        <v>21</v>
      </c>
      <c r="L176" t="b">
        <v>0</v>
      </c>
      <c r="M176">
        <v>19115.292829999999</v>
      </c>
      <c r="N176">
        <v>3063</v>
      </c>
      <c r="O176">
        <v>7611</v>
      </c>
      <c r="P176" t="s">
        <v>27</v>
      </c>
      <c r="Q176">
        <v>0.22200457068233759</v>
      </c>
      <c r="R176" t="s">
        <v>37</v>
      </c>
      <c r="S176">
        <v>11.915539126470589</v>
      </c>
      <c r="T176">
        <v>0.40244383129680728</v>
      </c>
      <c r="U176" t="s">
        <v>29</v>
      </c>
      <c r="V176">
        <v>0</v>
      </c>
    </row>
    <row r="177" spans="1:22" x14ac:dyDescent="0.3">
      <c r="A177" s="1">
        <v>44632</v>
      </c>
      <c r="B177" t="s">
        <v>42</v>
      </c>
      <c r="C177" t="s">
        <v>23</v>
      </c>
      <c r="D177" t="s">
        <v>35</v>
      </c>
      <c r="E177" t="s">
        <v>25</v>
      </c>
      <c r="F177" t="s">
        <v>26</v>
      </c>
      <c r="G177">
        <v>228</v>
      </c>
      <c r="H177">
        <v>1912</v>
      </c>
      <c r="I177">
        <v>2605.7627889999999</v>
      </c>
      <c r="J177" t="b">
        <v>1</v>
      </c>
      <c r="K177">
        <v>27</v>
      </c>
      <c r="L177" t="b">
        <v>0</v>
      </c>
      <c r="M177">
        <v>25023.919099999999</v>
      </c>
      <c r="N177">
        <v>2800</v>
      </c>
      <c r="O177">
        <v>8058</v>
      </c>
      <c r="P177" t="s">
        <v>36</v>
      </c>
      <c r="Q177">
        <v>8.1428571428571433E-2</v>
      </c>
      <c r="R177" t="s">
        <v>37</v>
      </c>
      <c r="S177">
        <v>11.428784162280701</v>
      </c>
      <c r="T177">
        <v>0.34748076445768183</v>
      </c>
      <c r="U177" t="s">
        <v>34</v>
      </c>
      <c r="V177">
        <v>0</v>
      </c>
    </row>
    <row r="178" spans="1:22" x14ac:dyDescent="0.3">
      <c r="A178" s="1">
        <v>44633</v>
      </c>
      <c r="B178" t="s">
        <v>38</v>
      </c>
      <c r="C178" t="s">
        <v>41</v>
      </c>
      <c r="D178" t="s">
        <v>24</v>
      </c>
      <c r="E178" t="s">
        <v>45</v>
      </c>
      <c r="F178" t="s">
        <v>26</v>
      </c>
      <c r="G178">
        <v>269</v>
      </c>
      <c r="H178">
        <v>3688</v>
      </c>
      <c r="I178">
        <v>6464.2892099999999</v>
      </c>
      <c r="J178" t="b">
        <v>1</v>
      </c>
      <c r="K178">
        <v>15</v>
      </c>
      <c r="L178" t="b">
        <v>0</v>
      </c>
      <c r="M178">
        <v>19097.934860000001</v>
      </c>
      <c r="N178">
        <v>1971.5</v>
      </c>
      <c r="O178">
        <v>6910</v>
      </c>
      <c r="P178" t="s">
        <v>27</v>
      </c>
      <c r="Q178">
        <v>0.13644433172711135</v>
      </c>
      <c r="R178" t="s">
        <v>37</v>
      </c>
      <c r="S178">
        <v>24.030814907063196</v>
      </c>
      <c r="T178">
        <v>0.28531114327062229</v>
      </c>
      <c r="U178" t="s">
        <v>34</v>
      </c>
      <c r="V178">
        <v>0</v>
      </c>
    </row>
    <row r="179" spans="1:22" x14ac:dyDescent="0.3">
      <c r="A179" s="1">
        <v>44634</v>
      </c>
      <c r="B179" t="s">
        <v>38</v>
      </c>
      <c r="C179" t="s">
        <v>44</v>
      </c>
      <c r="D179" t="s">
        <v>35</v>
      </c>
      <c r="E179" t="s">
        <v>45</v>
      </c>
      <c r="F179" t="s">
        <v>26</v>
      </c>
      <c r="G179">
        <v>273</v>
      </c>
      <c r="H179">
        <v>255</v>
      </c>
      <c r="I179">
        <v>13424.05207</v>
      </c>
      <c r="J179" t="b">
        <v>1</v>
      </c>
      <c r="K179">
        <v>15</v>
      </c>
      <c r="L179" t="b">
        <v>0</v>
      </c>
      <c r="M179">
        <v>6963.9540900000002</v>
      </c>
      <c r="N179">
        <v>2237.5</v>
      </c>
      <c r="O179">
        <v>5600</v>
      </c>
      <c r="P179" t="s">
        <v>36</v>
      </c>
      <c r="Q179">
        <v>0.12201117318435754</v>
      </c>
      <c r="R179" t="s">
        <v>37</v>
      </c>
      <c r="S179">
        <v>49.172351904761904</v>
      </c>
      <c r="T179">
        <v>0.39955357142857145</v>
      </c>
      <c r="U179" t="s">
        <v>34</v>
      </c>
      <c r="V179">
        <v>0</v>
      </c>
    </row>
    <row r="180" spans="1:22" x14ac:dyDescent="0.3">
      <c r="A180" s="1">
        <v>44635</v>
      </c>
      <c r="B180" t="s">
        <v>22</v>
      </c>
      <c r="C180" t="s">
        <v>31</v>
      </c>
      <c r="D180" t="s">
        <v>35</v>
      </c>
      <c r="E180" t="s">
        <v>45</v>
      </c>
      <c r="F180" t="s">
        <v>43</v>
      </c>
      <c r="G180">
        <v>461</v>
      </c>
      <c r="H180">
        <v>4220</v>
      </c>
      <c r="I180">
        <v>6933.6709819999996</v>
      </c>
      <c r="J180" t="b">
        <v>1</v>
      </c>
      <c r="K180">
        <v>20</v>
      </c>
      <c r="L180" t="b">
        <v>0</v>
      </c>
      <c r="M180">
        <v>71660.217090000006</v>
      </c>
      <c r="N180">
        <v>2506.5</v>
      </c>
      <c r="O180">
        <v>7430</v>
      </c>
      <c r="P180" t="s">
        <v>27</v>
      </c>
      <c r="Q180">
        <v>0.18392180331139038</v>
      </c>
      <c r="R180" t="s">
        <v>37</v>
      </c>
      <c r="S180">
        <v>15.040501045553144</v>
      </c>
      <c r="T180">
        <v>0.33734858681022878</v>
      </c>
      <c r="U180" t="s">
        <v>34</v>
      </c>
      <c r="V180">
        <v>0</v>
      </c>
    </row>
    <row r="181" spans="1:22" x14ac:dyDescent="0.3">
      <c r="A181" s="1">
        <v>44636</v>
      </c>
      <c r="B181" t="s">
        <v>30</v>
      </c>
      <c r="C181" t="s">
        <v>23</v>
      </c>
      <c r="D181" t="s">
        <v>35</v>
      </c>
      <c r="E181" t="s">
        <v>45</v>
      </c>
      <c r="F181" t="s">
        <v>26</v>
      </c>
      <c r="G181">
        <v>728</v>
      </c>
      <c r="H181">
        <v>793</v>
      </c>
      <c r="I181">
        <v>6135.7838849999998</v>
      </c>
      <c r="J181" t="b">
        <v>1</v>
      </c>
      <c r="K181">
        <v>27</v>
      </c>
      <c r="L181" t="b">
        <v>0</v>
      </c>
      <c r="M181">
        <v>51889.522940000003</v>
      </c>
      <c r="N181">
        <v>1713</v>
      </c>
      <c r="O181">
        <v>7083</v>
      </c>
      <c r="P181" t="s">
        <v>36</v>
      </c>
      <c r="Q181">
        <v>0.42498540572095739</v>
      </c>
      <c r="R181" t="s">
        <v>37</v>
      </c>
      <c r="S181">
        <v>8.4282745673076924</v>
      </c>
      <c r="T181">
        <v>0.24184667513765354</v>
      </c>
      <c r="U181" t="s">
        <v>34</v>
      </c>
      <c r="V181">
        <v>0</v>
      </c>
    </row>
    <row r="182" spans="1:22" x14ac:dyDescent="0.3">
      <c r="A182" s="1">
        <v>44637</v>
      </c>
      <c r="B182" t="s">
        <v>22</v>
      </c>
      <c r="C182" t="s">
        <v>31</v>
      </c>
      <c r="D182" t="s">
        <v>35</v>
      </c>
      <c r="E182" t="s">
        <v>33</v>
      </c>
      <c r="F182" t="s">
        <v>43</v>
      </c>
      <c r="G182">
        <v>959</v>
      </c>
      <c r="H182">
        <v>2633</v>
      </c>
      <c r="I182">
        <v>3954.036814</v>
      </c>
      <c r="J182" t="b">
        <v>1</v>
      </c>
      <c r="K182">
        <v>4</v>
      </c>
      <c r="L182" t="b">
        <v>0</v>
      </c>
      <c r="M182">
        <v>144262.03899999999</v>
      </c>
      <c r="N182">
        <v>3088</v>
      </c>
      <c r="O182">
        <v>7394</v>
      </c>
      <c r="P182" t="s">
        <v>36</v>
      </c>
      <c r="Q182">
        <v>0.31055699481865284</v>
      </c>
      <c r="R182" t="s">
        <v>40</v>
      </c>
      <c r="S182">
        <v>4.1230832262773722</v>
      </c>
      <c r="T182">
        <v>0.41763592101704083</v>
      </c>
      <c r="U182" t="s">
        <v>29</v>
      </c>
      <c r="V182">
        <v>0</v>
      </c>
    </row>
    <row r="183" spans="1:22" x14ac:dyDescent="0.3">
      <c r="A183" s="1">
        <v>44638</v>
      </c>
      <c r="B183" t="s">
        <v>42</v>
      </c>
      <c r="C183" t="s">
        <v>23</v>
      </c>
      <c r="D183" t="s">
        <v>32</v>
      </c>
      <c r="E183" t="s">
        <v>25</v>
      </c>
      <c r="F183" t="s">
        <v>43</v>
      </c>
      <c r="G183">
        <v>912</v>
      </c>
      <c r="H183">
        <v>3543</v>
      </c>
      <c r="I183">
        <v>10736.78636</v>
      </c>
      <c r="J183" t="b">
        <v>1</v>
      </c>
      <c r="K183">
        <v>3</v>
      </c>
      <c r="L183" t="b">
        <v>0</v>
      </c>
      <c r="M183">
        <v>70992.996610000002</v>
      </c>
      <c r="N183">
        <v>2312.5</v>
      </c>
      <c r="O183">
        <v>8164</v>
      </c>
      <c r="P183" t="s">
        <v>27</v>
      </c>
      <c r="Q183">
        <v>0.39437837837837836</v>
      </c>
      <c r="R183" t="s">
        <v>40</v>
      </c>
      <c r="S183">
        <v>11.772792061403509</v>
      </c>
      <c r="T183">
        <v>0.28325575698187161</v>
      </c>
      <c r="U183" t="s">
        <v>34</v>
      </c>
      <c r="V183">
        <v>0</v>
      </c>
    </row>
    <row r="184" spans="1:22" x14ac:dyDescent="0.3">
      <c r="A184" s="1">
        <v>44639</v>
      </c>
      <c r="B184" t="s">
        <v>30</v>
      </c>
      <c r="C184" t="s">
        <v>41</v>
      </c>
      <c r="D184" t="s">
        <v>46</v>
      </c>
      <c r="E184" t="s">
        <v>45</v>
      </c>
      <c r="F184" t="s">
        <v>26</v>
      </c>
      <c r="G184">
        <v>193</v>
      </c>
      <c r="H184">
        <v>1082</v>
      </c>
      <c r="I184">
        <v>1454.0741579999999</v>
      </c>
      <c r="J184" t="b">
        <v>1</v>
      </c>
      <c r="K184">
        <v>13</v>
      </c>
      <c r="L184" t="b">
        <v>0</v>
      </c>
      <c r="M184">
        <v>28964.763800000001</v>
      </c>
      <c r="N184">
        <v>2245.5</v>
      </c>
      <c r="O184">
        <v>8447</v>
      </c>
      <c r="P184" t="s">
        <v>36</v>
      </c>
      <c r="Q184">
        <v>8.5949677132041866E-2</v>
      </c>
      <c r="R184" t="s">
        <v>28</v>
      </c>
      <c r="S184">
        <v>7.5340629948186519</v>
      </c>
      <c r="T184">
        <v>0.26583402391381555</v>
      </c>
      <c r="U184" t="s">
        <v>34</v>
      </c>
      <c r="V184">
        <v>0</v>
      </c>
    </row>
    <row r="185" spans="1:22" x14ac:dyDescent="0.3">
      <c r="A185" s="1">
        <v>44640</v>
      </c>
      <c r="B185" t="s">
        <v>38</v>
      </c>
      <c r="C185" t="s">
        <v>44</v>
      </c>
      <c r="D185" t="s">
        <v>46</v>
      </c>
      <c r="E185" t="s">
        <v>33</v>
      </c>
      <c r="F185" t="s">
        <v>26</v>
      </c>
      <c r="G185">
        <v>812</v>
      </c>
      <c r="H185">
        <v>3409</v>
      </c>
      <c r="I185">
        <v>4515.8419629999999</v>
      </c>
      <c r="J185" t="b">
        <v>1</v>
      </c>
      <c r="K185">
        <v>14</v>
      </c>
      <c r="L185" t="b">
        <v>1</v>
      </c>
      <c r="M185">
        <v>54459.802810000001</v>
      </c>
      <c r="N185">
        <v>3842</v>
      </c>
      <c r="O185">
        <v>6754</v>
      </c>
      <c r="P185" t="s">
        <v>36</v>
      </c>
      <c r="Q185">
        <v>0.21134825611660593</v>
      </c>
      <c r="R185" t="s">
        <v>28</v>
      </c>
      <c r="S185">
        <v>5.5613817278325124</v>
      </c>
      <c r="T185">
        <v>0.56884809002072845</v>
      </c>
      <c r="U185" t="s">
        <v>29</v>
      </c>
      <c r="V185">
        <v>1</v>
      </c>
    </row>
    <row r="186" spans="1:22" x14ac:dyDescent="0.3">
      <c r="A186" s="1">
        <v>44641</v>
      </c>
      <c r="B186" t="s">
        <v>38</v>
      </c>
      <c r="C186" t="s">
        <v>44</v>
      </c>
      <c r="D186" t="s">
        <v>35</v>
      </c>
      <c r="E186" t="s">
        <v>33</v>
      </c>
      <c r="F186" t="s">
        <v>26</v>
      </c>
      <c r="G186">
        <v>616</v>
      </c>
      <c r="H186">
        <v>4275</v>
      </c>
      <c r="I186">
        <v>2873.2971240000002</v>
      </c>
      <c r="J186" t="b">
        <v>1</v>
      </c>
      <c r="K186">
        <v>28</v>
      </c>
      <c r="L186" t="b">
        <v>0</v>
      </c>
      <c r="M186">
        <v>69478.360140000004</v>
      </c>
      <c r="N186">
        <v>4298.5</v>
      </c>
      <c r="O186">
        <v>5608</v>
      </c>
      <c r="P186" t="s">
        <v>36</v>
      </c>
      <c r="Q186">
        <v>0.14330580435035478</v>
      </c>
      <c r="R186" t="s">
        <v>37</v>
      </c>
      <c r="S186">
        <v>4.6644433831168834</v>
      </c>
      <c r="T186">
        <v>0.76649429386590584</v>
      </c>
      <c r="U186" t="s">
        <v>29</v>
      </c>
      <c r="V186">
        <v>0</v>
      </c>
    </row>
    <row r="187" spans="1:22" x14ac:dyDescent="0.3">
      <c r="A187" s="1">
        <v>44642</v>
      </c>
      <c r="B187" t="s">
        <v>22</v>
      </c>
      <c r="C187" t="s">
        <v>44</v>
      </c>
      <c r="D187" t="s">
        <v>24</v>
      </c>
      <c r="E187" t="s">
        <v>45</v>
      </c>
      <c r="F187" t="s">
        <v>43</v>
      </c>
      <c r="G187">
        <v>134</v>
      </c>
      <c r="H187">
        <v>4322</v>
      </c>
      <c r="I187">
        <v>12632.580449999999</v>
      </c>
      <c r="J187" t="b">
        <v>1</v>
      </c>
      <c r="K187">
        <v>24</v>
      </c>
      <c r="L187" t="b">
        <v>0</v>
      </c>
      <c r="M187">
        <v>6893.7550810000002</v>
      </c>
      <c r="N187">
        <v>2256.5</v>
      </c>
      <c r="O187">
        <v>8286</v>
      </c>
      <c r="P187" t="s">
        <v>27</v>
      </c>
      <c r="Q187">
        <v>5.9384001772656771E-2</v>
      </c>
      <c r="R187" t="s">
        <v>37</v>
      </c>
      <c r="S187">
        <v>94.272988432835817</v>
      </c>
      <c r="T187">
        <v>0.27232681631667871</v>
      </c>
      <c r="U187" t="s">
        <v>34</v>
      </c>
      <c r="V187">
        <v>0</v>
      </c>
    </row>
    <row r="188" spans="1:22" x14ac:dyDescent="0.3">
      <c r="A188" s="1">
        <v>44643</v>
      </c>
      <c r="B188" t="s">
        <v>30</v>
      </c>
      <c r="C188" t="s">
        <v>31</v>
      </c>
      <c r="D188" t="s">
        <v>32</v>
      </c>
      <c r="E188" t="s">
        <v>45</v>
      </c>
      <c r="F188" t="s">
        <v>26</v>
      </c>
      <c r="G188">
        <v>234</v>
      </c>
      <c r="H188">
        <v>191</v>
      </c>
      <c r="I188">
        <v>7639.8255079999999</v>
      </c>
      <c r="J188" t="b">
        <v>1</v>
      </c>
      <c r="K188">
        <v>8</v>
      </c>
      <c r="L188" t="b">
        <v>0</v>
      </c>
      <c r="M188">
        <v>39719.125249999997</v>
      </c>
      <c r="N188">
        <v>1278.5</v>
      </c>
      <c r="O188">
        <v>8552</v>
      </c>
      <c r="P188" t="s">
        <v>36</v>
      </c>
      <c r="Q188">
        <v>0.18302698474775128</v>
      </c>
      <c r="R188" t="s">
        <v>28</v>
      </c>
      <c r="S188">
        <v>32.648826957264959</v>
      </c>
      <c r="T188">
        <v>0.14949719363891487</v>
      </c>
      <c r="U188" t="s">
        <v>34</v>
      </c>
      <c r="V188">
        <v>0</v>
      </c>
    </row>
    <row r="189" spans="1:22" x14ac:dyDescent="0.3">
      <c r="A189" s="1">
        <v>44644</v>
      </c>
      <c r="B189" t="s">
        <v>38</v>
      </c>
      <c r="C189" t="s">
        <v>44</v>
      </c>
      <c r="D189" t="s">
        <v>46</v>
      </c>
      <c r="E189" t="s">
        <v>33</v>
      </c>
      <c r="F189" t="s">
        <v>26</v>
      </c>
      <c r="G189">
        <v>552</v>
      </c>
      <c r="H189">
        <v>2366</v>
      </c>
      <c r="I189">
        <v>4393.3212999999996</v>
      </c>
      <c r="J189" t="b">
        <v>1</v>
      </c>
      <c r="K189">
        <v>25</v>
      </c>
      <c r="L189" t="b">
        <v>0</v>
      </c>
      <c r="M189">
        <v>12873.90993</v>
      </c>
      <c r="N189">
        <v>3245.5</v>
      </c>
      <c r="O189">
        <v>8709</v>
      </c>
      <c r="P189" t="s">
        <v>36</v>
      </c>
      <c r="Q189">
        <v>0.17008165151748575</v>
      </c>
      <c r="R189" t="s">
        <v>37</v>
      </c>
      <c r="S189">
        <v>7.9589153985507242</v>
      </c>
      <c r="T189">
        <v>0.37266046618440696</v>
      </c>
      <c r="U189" t="s">
        <v>34</v>
      </c>
      <c r="V189">
        <v>0</v>
      </c>
    </row>
    <row r="190" spans="1:22" x14ac:dyDescent="0.3">
      <c r="A190" s="1">
        <v>44645</v>
      </c>
      <c r="B190" t="s">
        <v>22</v>
      </c>
      <c r="C190" t="s">
        <v>31</v>
      </c>
      <c r="D190" t="s">
        <v>35</v>
      </c>
      <c r="E190" t="s">
        <v>33</v>
      </c>
      <c r="F190" t="s">
        <v>26</v>
      </c>
      <c r="G190">
        <v>74</v>
      </c>
      <c r="H190">
        <v>4125</v>
      </c>
      <c r="I190">
        <v>2129.5960180000002</v>
      </c>
      <c r="J190" t="b">
        <v>1</v>
      </c>
      <c r="K190">
        <v>8</v>
      </c>
      <c r="L190" t="b">
        <v>1</v>
      </c>
      <c r="M190">
        <v>10224.20061</v>
      </c>
      <c r="N190">
        <v>3036.5</v>
      </c>
      <c r="O190">
        <v>8043</v>
      </c>
      <c r="P190" t="s">
        <v>27</v>
      </c>
      <c r="Q190">
        <v>2.4370163016630988E-2</v>
      </c>
      <c r="R190" t="s">
        <v>28</v>
      </c>
      <c r="S190">
        <v>28.778324567567569</v>
      </c>
      <c r="T190">
        <v>0.3775332587343031</v>
      </c>
      <c r="U190" t="s">
        <v>34</v>
      </c>
      <c r="V190">
        <v>1</v>
      </c>
    </row>
    <row r="191" spans="1:22" x14ac:dyDescent="0.3">
      <c r="A191" s="1">
        <v>44646</v>
      </c>
      <c r="B191" t="s">
        <v>22</v>
      </c>
      <c r="C191" t="s">
        <v>41</v>
      </c>
      <c r="D191" t="s">
        <v>32</v>
      </c>
      <c r="E191" t="s">
        <v>45</v>
      </c>
      <c r="F191" t="s">
        <v>26</v>
      </c>
      <c r="G191">
        <v>475</v>
      </c>
      <c r="H191">
        <v>1948</v>
      </c>
      <c r="I191">
        <v>14571.35896</v>
      </c>
      <c r="J191" t="b">
        <v>1</v>
      </c>
      <c r="K191">
        <v>21</v>
      </c>
      <c r="L191" t="b">
        <v>0</v>
      </c>
      <c r="M191">
        <v>16265.554249999999</v>
      </c>
      <c r="N191">
        <v>1154.5</v>
      </c>
      <c r="O191">
        <v>8781</v>
      </c>
      <c r="P191" t="s">
        <v>27</v>
      </c>
      <c r="Q191">
        <v>0.41143352100476399</v>
      </c>
      <c r="R191" t="s">
        <v>37</v>
      </c>
      <c r="S191">
        <v>30.676545178947368</v>
      </c>
      <c r="T191">
        <v>0.13147705272747978</v>
      </c>
      <c r="U191" t="s">
        <v>34</v>
      </c>
      <c r="V191">
        <v>0</v>
      </c>
    </row>
    <row r="192" spans="1:22" x14ac:dyDescent="0.3">
      <c r="A192" s="1">
        <v>44647</v>
      </c>
      <c r="B192" t="s">
        <v>42</v>
      </c>
      <c r="C192" t="s">
        <v>41</v>
      </c>
      <c r="D192" t="s">
        <v>24</v>
      </c>
      <c r="E192" t="s">
        <v>45</v>
      </c>
      <c r="F192" t="s">
        <v>43</v>
      </c>
      <c r="G192">
        <v>183</v>
      </c>
      <c r="H192">
        <v>361</v>
      </c>
      <c r="I192">
        <v>6384.275337</v>
      </c>
      <c r="J192" t="b">
        <v>1</v>
      </c>
      <c r="K192">
        <v>11</v>
      </c>
      <c r="L192" t="b">
        <v>0</v>
      </c>
      <c r="M192">
        <v>28434.926289999999</v>
      </c>
      <c r="N192">
        <v>1899</v>
      </c>
      <c r="O192">
        <v>9152</v>
      </c>
      <c r="P192" t="s">
        <v>36</v>
      </c>
      <c r="Q192">
        <v>9.6366508688783575E-2</v>
      </c>
      <c r="R192" t="s">
        <v>28</v>
      </c>
      <c r="S192">
        <v>34.886750475409833</v>
      </c>
      <c r="T192">
        <v>0.20749562937062938</v>
      </c>
      <c r="U192" t="s">
        <v>34</v>
      </c>
      <c r="V192">
        <v>0</v>
      </c>
    </row>
    <row r="193" spans="1:22" x14ac:dyDescent="0.3">
      <c r="A193" s="1">
        <v>44648</v>
      </c>
      <c r="B193" t="s">
        <v>42</v>
      </c>
      <c r="C193" t="s">
        <v>44</v>
      </c>
      <c r="D193" t="s">
        <v>46</v>
      </c>
      <c r="E193" t="s">
        <v>25</v>
      </c>
      <c r="F193" t="s">
        <v>43</v>
      </c>
      <c r="G193">
        <v>432</v>
      </c>
      <c r="H193">
        <v>3437</v>
      </c>
      <c r="I193">
        <v>5716.9464939999998</v>
      </c>
      <c r="J193" t="b">
        <v>1</v>
      </c>
      <c r="K193">
        <v>22</v>
      </c>
      <c r="L193" t="b">
        <v>0</v>
      </c>
      <c r="M193">
        <v>12098.546200000001</v>
      </c>
      <c r="N193">
        <v>3706</v>
      </c>
      <c r="O193">
        <v>9428</v>
      </c>
      <c r="P193" t="s">
        <v>36</v>
      </c>
      <c r="Q193">
        <v>0.11656772800863464</v>
      </c>
      <c r="R193" t="s">
        <v>37</v>
      </c>
      <c r="S193">
        <v>13.233672439814814</v>
      </c>
      <c r="T193">
        <v>0.39308442935935511</v>
      </c>
      <c r="U193" t="s">
        <v>34</v>
      </c>
      <c r="V193">
        <v>0</v>
      </c>
    </row>
    <row r="194" spans="1:22" x14ac:dyDescent="0.3">
      <c r="A194" s="1">
        <v>44649</v>
      </c>
      <c r="B194" t="s">
        <v>22</v>
      </c>
      <c r="C194" t="s">
        <v>23</v>
      </c>
      <c r="D194" t="s">
        <v>32</v>
      </c>
      <c r="E194" t="s">
        <v>33</v>
      </c>
      <c r="F194" t="s">
        <v>26</v>
      </c>
      <c r="G194">
        <v>221</v>
      </c>
      <c r="H194">
        <v>3975</v>
      </c>
      <c r="I194">
        <v>9633.1498030000002</v>
      </c>
      <c r="J194" t="b">
        <v>1</v>
      </c>
      <c r="K194">
        <v>13</v>
      </c>
      <c r="L194" t="b">
        <v>0</v>
      </c>
      <c r="M194">
        <v>28738.20566</v>
      </c>
      <c r="N194">
        <v>4045.5</v>
      </c>
      <c r="O194">
        <v>7090</v>
      </c>
      <c r="P194" t="s">
        <v>36</v>
      </c>
      <c r="Q194">
        <v>5.4628599678655299E-2</v>
      </c>
      <c r="R194" t="s">
        <v>28</v>
      </c>
      <c r="S194">
        <v>43.588913135746608</v>
      </c>
      <c r="T194">
        <v>0.57059238363892806</v>
      </c>
      <c r="U194" t="s">
        <v>29</v>
      </c>
      <c r="V194">
        <v>0</v>
      </c>
    </row>
    <row r="195" spans="1:22" x14ac:dyDescent="0.3">
      <c r="A195" s="1">
        <v>44650</v>
      </c>
      <c r="B195" t="s">
        <v>42</v>
      </c>
      <c r="C195" t="s">
        <v>31</v>
      </c>
      <c r="D195" t="s">
        <v>46</v>
      </c>
      <c r="E195" t="s">
        <v>33</v>
      </c>
      <c r="F195" t="s">
        <v>26</v>
      </c>
      <c r="G195">
        <v>499</v>
      </c>
      <c r="H195">
        <v>4116</v>
      </c>
      <c r="I195">
        <v>11049.66401</v>
      </c>
      <c r="J195" t="b">
        <v>0</v>
      </c>
      <c r="K195">
        <v>1</v>
      </c>
      <c r="L195" t="b">
        <v>1</v>
      </c>
      <c r="M195">
        <v>45364.073850000001</v>
      </c>
      <c r="N195">
        <v>3921</v>
      </c>
      <c r="O195">
        <v>5762</v>
      </c>
      <c r="P195" t="s">
        <v>27</v>
      </c>
      <c r="Q195">
        <v>0.12726345320071411</v>
      </c>
      <c r="R195" t="s">
        <v>40</v>
      </c>
      <c r="S195">
        <v>22.143615250501004</v>
      </c>
      <c r="T195">
        <v>0.68049288441513367</v>
      </c>
      <c r="U195" t="s">
        <v>29</v>
      </c>
      <c r="V195">
        <v>1</v>
      </c>
    </row>
    <row r="196" spans="1:22" x14ac:dyDescent="0.3">
      <c r="A196" s="1">
        <v>44651</v>
      </c>
      <c r="B196" t="s">
        <v>22</v>
      </c>
      <c r="C196" t="s">
        <v>41</v>
      </c>
      <c r="D196" t="s">
        <v>35</v>
      </c>
      <c r="E196" t="s">
        <v>33</v>
      </c>
      <c r="F196" t="s">
        <v>26</v>
      </c>
      <c r="G196">
        <v>71</v>
      </c>
      <c r="H196">
        <v>3726</v>
      </c>
      <c r="I196">
        <v>11369.40712</v>
      </c>
      <c r="J196" t="b">
        <v>1</v>
      </c>
      <c r="K196">
        <v>16</v>
      </c>
      <c r="L196" t="b">
        <v>1</v>
      </c>
      <c r="M196">
        <v>7708.7592240000004</v>
      </c>
      <c r="N196">
        <v>2135.5</v>
      </c>
      <c r="O196">
        <v>5486</v>
      </c>
      <c r="P196" t="s">
        <v>27</v>
      </c>
      <c r="Q196">
        <v>3.3247483025052683E-2</v>
      </c>
      <c r="R196" t="s">
        <v>37</v>
      </c>
      <c r="S196">
        <v>160.13249464788731</v>
      </c>
      <c r="T196">
        <v>0.38926358002187383</v>
      </c>
      <c r="U196" t="s">
        <v>34</v>
      </c>
      <c r="V196">
        <v>1</v>
      </c>
    </row>
    <row r="197" spans="1:22" x14ac:dyDescent="0.3">
      <c r="A197" s="1">
        <v>44652</v>
      </c>
      <c r="B197" t="s">
        <v>22</v>
      </c>
      <c r="C197" t="s">
        <v>41</v>
      </c>
      <c r="D197" t="s">
        <v>24</v>
      </c>
      <c r="E197" t="s">
        <v>25</v>
      </c>
      <c r="F197" t="s">
        <v>43</v>
      </c>
      <c r="G197">
        <v>654</v>
      </c>
      <c r="H197">
        <v>545</v>
      </c>
      <c r="I197">
        <v>8331.1501680000001</v>
      </c>
      <c r="J197" t="b">
        <v>1</v>
      </c>
      <c r="K197">
        <v>13</v>
      </c>
      <c r="L197" t="b">
        <v>0</v>
      </c>
      <c r="M197">
        <v>30162.43578</v>
      </c>
      <c r="N197">
        <v>2100</v>
      </c>
      <c r="O197">
        <v>5530</v>
      </c>
      <c r="P197" t="s">
        <v>36</v>
      </c>
      <c r="Q197">
        <v>0.31142857142857144</v>
      </c>
      <c r="R197" t="s">
        <v>28</v>
      </c>
      <c r="S197">
        <v>12.738761724770642</v>
      </c>
      <c r="T197">
        <v>0.379746835443038</v>
      </c>
      <c r="U197" t="s">
        <v>34</v>
      </c>
      <c r="V197">
        <v>0</v>
      </c>
    </row>
    <row r="198" spans="1:22" x14ac:dyDescent="0.3">
      <c r="A198" s="1">
        <v>44653</v>
      </c>
      <c r="B198" t="s">
        <v>22</v>
      </c>
      <c r="C198" t="s">
        <v>31</v>
      </c>
      <c r="D198" t="s">
        <v>32</v>
      </c>
      <c r="E198" t="s">
        <v>25</v>
      </c>
      <c r="F198" t="s">
        <v>26</v>
      </c>
      <c r="G198">
        <v>147</v>
      </c>
      <c r="H198">
        <v>3655</v>
      </c>
      <c r="I198">
        <v>9519.1332380000003</v>
      </c>
      <c r="J198" t="b">
        <v>1</v>
      </c>
      <c r="K198">
        <v>5</v>
      </c>
      <c r="L198" t="b">
        <v>0</v>
      </c>
      <c r="M198">
        <v>23664.03975</v>
      </c>
      <c r="N198">
        <v>2974.5</v>
      </c>
      <c r="O198">
        <v>9492</v>
      </c>
      <c r="P198" t="s">
        <v>27</v>
      </c>
      <c r="Q198">
        <v>4.9420070600100854E-2</v>
      </c>
      <c r="R198" t="s">
        <v>40</v>
      </c>
      <c r="S198">
        <v>64.756008421768712</v>
      </c>
      <c r="T198">
        <v>0.31336915297092288</v>
      </c>
      <c r="U198" t="s">
        <v>34</v>
      </c>
      <c r="V198">
        <v>0</v>
      </c>
    </row>
    <row r="199" spans="1:22" x14ac:dyDescent="0.3">
      <c r="A199" s="1">
        <v>44654</v>
      </c>
      <c r="B199" t="s">
        <v>22</v>
      </c>
      <c r="C199" t="s">
        <v>31</v>
      </c>
      <c r="D199" t="s">
        <v>32</v>
      </c>
      <c r="E199" t="s">
        <v>25</v>
      </c>
      <c r="F199" t="s">
        <v>26</v>
      </c>
      <c r="G199">
        <v>930</v>
      </c>
      <c r="H199">
        <v>2294</v>
      </c>
      <c r="I199">
        <v>11429.638929999999</v>
      </c>
      <c r="J199" t="b">
        <v>0</v>
      </c>
      <c r="K199">
        <v>27</v>
      </c>
      <c r="L199" t="b">
        <v>0</v>
      </c>
      <c r="M199">
        <v>99302.455050000004</v>
      </c>
      <c r="N199">
        <v>2880.5</v>
      </c>
      <c r="O199">
        <v>9025</v>
      </c>
      <c r="P199" t="s">
        <v>36</v>
      </c>
      <c r="Q199">
        <v>0.32286061447665337</v>
      </c>
      <c r="R199" t="s">
        <v>37</v>
      </c>
      <c r="S199">
        <v>12.289934333333333</v>
      </c>
      <c r="T199">
        <v>0.31916897506925207</v>
      </c>
      <c r="U199" t="s">
        <v>34</v>
      </c>
      <c r="V199">
        <v>0</v>
      </c>
    </row>
    <row r="200" spans="1:22" x14ac:dyDescent="0.3">
      <c r="A200" s="1">
        <v>44655</v>
      </c>
      <c r="B200" t="s">
        <v>30</v>
      </c>
      <c r="C200" t="s">
        <v>44</v>
      </c>
      <c r="D200" t="s">
        <v>32</v>
      </c>
      <c r="E200" t="s">
        <v>45</v>
      </c>
      <c r="F200" t="s">
        <v>26</v>
      </c>
      <c r="G200">
        <v>245</v>
      </c>
      <c r="H200">
        <v>3467</v>
      </c>
      <c r="I200">
        <v>9924.3054229999998</v>
      </c>
      <c r="J200" t="b">
        <v>1</v>
      </c>
      <c r="K200">
        <v>19</v>
      </c>
      <c r="L200" t="b">
        <v>1</v>
      </c>
      <c r="M200">
        <v>42674.657469999998</v>
      </c>
      <c r="N200">
        <v>3541.5</v>
      </c>
      <c r="O200">
        <v>8186</v>
      </c>
      <c r="P200" t="s">
        <v>36</v>
      </c>
      <c r="Q200">
        <v>6.9179726104757866E-2</v>
      </c>
      <c r="R200" t="s">
        <v>37</v>
      </c>
      <c r="S200">
        <v>40.507369073469384</v>
      </c>
      <c r="T200">
        <v>0.43262887857317373</v>
      </c>
      <c r="U200" t="s">
        <v>29</v>
      </c>
      <c r="V200">
        <v>1</v>
      </c>
    </row>
    <row r="201" spans="1:22" x14ac:dyDescent="0.3">
      <c r="A201" s="1">
        <v>44656</v>
      </c>
      <c r="B201" t="s">
        <v>38</v>
      </c>
      <c r="C201" t="s">
        <v>41</v>
      </c>
      <c r="D201" t="s">
        <v>32</v>
      </c>
      <c r="E201" t="s">
        <v>45</v>
      </c>
      <c r="F201" t="s">
        <v>39</v>
      </c>
      <c r="G201">
        <v>771</v>
      </c>
      <c r="H201">
        <v>3616</v>
      </c>
      <c r="I201">
        <v>8432.4133679999995</v>
      </c>
      <c r="J201" t="b">
        <v>0</v>
      </c>
      <c r="K201">
        <v>8</v>
      </c>
      <c r="L201" t="b">
        <v>0</v>
      </c>
      <c r="M201">
        <v>126241.5082</v>
      </c>
      <c r="N201">
        <v>3291.5</v>
      </c>
      <c r="O201">
        <v>8621</v>
      </c>
      <c r="P201" t="s">
        <v>27</v>
      </c>
      <c r="Q201">
        <v>0.23423970833966276</v>
      </c>
      <c r="R201" t="s">
        <v>28</v>
      </c>
      <c r="S201">
        <v>10.936982319066146</v>
      </c>
      <c r="T201">
        <v>0.38180025519081312</v>
      </c>
      <c r="U201" t="s">
        <v>34</v>
      </c>
      <c r="V201">
        <v>0</v>
      </c>
    </row>
    <row r="202" spans="1:22" x14ac:dyDescent="0.3">
      <c r="A202" s="1">
        <v>44657</v>
      </c>
      <c r="B202" t="s">
        <v>30</v>
      </c>
      <c r="C202" t="s">
        <v>41</v>
      </c>
      <c r="D202" t="s">
        <v>32</v>
      </c>
      <c r="E202" t="s">
        <v>33</v>
      </c>
      <c r="F202" t="s">
        <v>39</v>
      </c>
      <c r="G202">
        <v>940</v>
      </c>
      <c r="H202">
        <v>2967</v>
      </c>
      <c r="I202">
        <v>12048.550660000001</v>
      </c>
      <c r="J202" t="b">
        <v>0</v>
      </c>
      <c r="K202">
        <v>4</v>
      </c>
      <c r="L202" t="b">
        <v>0</v>
      </c>
      <c r="M202">
        <v>43387.544410000002</v>
      </c>
      <c r="N202">
        <v>2796.5</v>
      </c>
      <c r="O202">
        <v>5434</v>
      </c>
      <c r="P202" t="s">
        <v>27</v>
      </c>
      <c r="Q202">
        <v>0.33613445378151263</v>
      </c>
      <c r="R202" t="s">
        <v>40</v>
      </c>
      <c r="S202">
        <v>12.817607085106383</v>
      </c>
      <c r="T202">
        <v>0.51463010673536991</v>
      </c>
      <c r="U202" t="s">
        <v>29</v>
      </c>
      <c r="V202">
        <v>0</v>
      </c>
    </row>
    <row r="203" spans="1:22" x14ac:dyDescent="0.3">
      <c r="A203" s="1">
        <v>44658</v>
      </c>
      <c r="B203" t="s">
        <v>42</v>
      </c>
      <c r="C203" t="s">
        <v>44</v>
      </c>
      <c r="D203" t="s">
        <v>32</v>
      </c>
      <c r="E203" t="s">
        <v>25</v>
      </c>
      <c r="F203" t="s">
        <v>26</v>
      </c>
      <c r="G203">
        <v>629</v>
      </c>
      <c r="H203">
        <v>2626</v>
      </c>
      <c r="I203">
        <v>7011.709194</v>
      </c>
      <c r="J203" t="b">
        <v>1</v>
      </c>
      <c r="K203">
        <v>26</v>
      </c>
      <c r="L203" t="b">
        <v>0</v>
      </c>
      <c r="M203">
        <v>80951.065990000003</v>
      </c>
      <c r="N203">
        <v>3185.5</v>
      </c>
      <c r="O203">
        <v>5191</v>
      </c>
      <c r="P203" t="s">
        <v>36</v>
      </c>
      <c r="Q203">
        <v>0.19745722806466803</v>
      </c>
      <c r="R203" t="s">
        <v>37</v>
      </c>
      <c r="S203">
        <v>11.147391405405406</v>
      </c>
      <c r="T203">
        <v>0.61365825467154689</v>
      </c>
      <c r="U203" t="s">
        <v>29</v>
      </c>
      <c r="V203">
        <v>0</v>
      </c>
    </row>
    <row r="204" spans="1:22" x14ac:dyDescent="0.3">
      <c r="A204" s="1">
        <v>44659</v>
      </c>
      <c r="B204" t="s">
        <v>42</v>
      </c>
      <c r="C204" t="s">
        <v>23</v>
      </c>
      <c r="D204" t="s">
        <v>24</v>
      </c>
      <c r="E204" t="s">
        <v>33</v>
      </c>
      <c r="F204" t="s">
        <v>43</v>
      </c>
      <c r="G204">
        <v>572</v>
      </c>
      <c r="H204">
        <v>3745</v>
      </c>
      <c r="I204">
        <v>3685.390934</v>
      </c>
      <c r="J204" t="b">
        <v>1</v>
      </c>
      <c r="K204">
        <v>27</v>
      </c>
      <c r="L204" t="b">
        <v>0</v>
      </c>
      <c r="M204">
        <v>14015.56004</v>
      </c>
      <c r="N204">
        <v>3487</v>
      </c>
      <c r="O204">
        <v>8556</v>
      </c>
      <c r="P204" t="s">
        <v>27</v>
      </c>
      <c r="Q204">
        <v>0.16403785488958991</v>
      </c>
      <c r="R204" t="s">
        <v>37</v>
      </c>
      <c r="S204">
        <v>6.4429911433566431</v>
      </c>
      <c r="T204">
        <v>0.40755025712949977</v>
      </c>
      <c r="U204" t="s">
        <v>29</v>
      </c>
      <c r="V204">
        <v>0</v>
      </c>
    </row>
    <row r="205" spans="1:22" x14ac:dyDescent="0.3">
      <c r="A205" s="1">
        <v>44660</v>
      </c>
      <c r="B205" t="s">
        <v>22</v>
      </c>
      <c r="C205" t="s">
        <v>31</v>
      </c>
      <c r="D205" t="s">
        <v>32</v>
      </c>
      <c r="E205" t="s">
        <v>45</v>
      </c>
      <c r="F205" t="s">
        <v>26</v>
      </c>
      <c r="G205">
        <v>427</v>
      </c>
      <c r="H205">
        <v>3229</v>
      </c>
      <c r="I205">
        <v>11031.40076</v>
      </c>
      <c r="J205" t="b">
        <v>1</v>
      </c>
      <c r="K205">
        <v>6</v>
      </c>
      <c r="L205" t="b">
        <v>0</v>
      </c>
      <c r="M205">
        <v>51030.541169999997</v>
      </c>
      <c r="N205">
        <v>3746.5</v>
      </c>
      <c r="O205">
        <v>8125</v>
      </c>
      <c r="P205" t="s">
        <v>36</v>
      </c>
      <c r="Q205">
        <v>0.11397304150540505</v>
      </c>
      <c r="R205" t="s">
        <v>40</v>
      </c>
      <c r="S205">
        <v>25.834662201405152</v>
      </c>
      <c r="T205">
        <v>0.46110769230769233</v>
      </c>
      <c r="U205" t="s">
        <v>29</v>
      </c>
      <c r="V205">
        <v>0</v>
      </c>
    </row>
    <row r="206" spans="1:22" x14ac:dyDescent="0.3">
      <c r="A206" s="1">
        <v>44661</v>
      </c>
      <c r="B206" t="s">
        <v>22</v>
      </c>
      <c r="C206" t="s">
        <v>44</v>
      </c>
      <c r="D206" t="s">
        <v>35</v>
      </c>
      <c r="E206" t="s">
        <v>25</v>
      </c>
      <c r="F206" t="s">
        <v>26</v>
      </c>
      <c r="G206">
        <v>656</v>
      </c>
      <c r="H206">
        <v>4264</v>
      </c>
      <c r="I206">
        <v>14225.67931</v>
      </c>
      <c r="J206" t="b">
        <v>1</v>
      </c>
      <c r="K206">
        <v>15</v>
      </c>
      <c r="L206" t="b">
        <v>0</v>
      </c>
      <c r="M206">
        <v>128945.4464</v>
      </c>
      <c r="N206">
        <v>2766</v>
      </c>
      <c r="O206">
        <v>5515</v>
      </c>
      <c r="P206" t="s">
        <v>27</v>
      </c>
      <c r="Q206">
        <v>0.23716558206796817</v>
      </c>
      <c r="R206" t="s">
        <v>37</v>
      </c>
      <c r="S206">
        <v>21.685486753048778</v>
      </c>
      <c r="T206">
        <v>0.50154125113327286</v>
      </c>
      <c r="U206" t="s">
        <v>29</v>
      </c>
      <c r="V206">
        <v>0</v>
      </c>
    </row>
    <row r="207" spans="1:22" x14ac:dyDescent="0.3">
      <c r="A207" s="1">
        <v>44662</v>
      </c>
      <c r="B207" t="s">
        <v>42</v>
      </c>
      <c r="C207" t="s">
        <v>41</v>
      </c>
      <c r="D207" t="s">
        <v>24</v>
      </c>
      <c r="E207" t="s">
        <v>33</v>
      </c>
      <c r="F207" t="s">
        <v>26</v>
      </c>
      <c r="G207">
        <v>413</v>
      </c>
      <c r="H207">
        <v>1268</v>
      </c>
      <c r="I207">
        <v>4290.26109</v>
      </c>
      <c r="J207" t="b">
        <v>1</v>
      </c>
      <c r="K207">
        <v>26</v>
      </c>
      <c r="L207" t="b">
        <v>0</v>
      </c>
      <c r="M207">
        <v>47247.567990000003</v>
      </c>
      <c r="N207">
        <v>2756</v>
      </c>
      <c r="O207">
        <v>6662</v>
      </c>
      <c r="P207" t="s">
        <v>36</v>
      </c>
      <c r="Q207">
        <v>0.14985486211901305</v>
      </c>
      <c r="R207" t="s">
        <v>37</v>
      </c>
      <c r="S207">
        <v>10.388041380145278</v>
      </c>
      <c r="T207">
        <v>0.41368958270789552</v>
      </c>
      <c r="U207" t="s">
        <v>29</v>
      </c>
      <c r="V207">
        <v>0</v>
      </c>
    </row>
    <row r="208" spans="1:22" x14ac:dyDescent="0.3">
      <c r="A208" s="1">
        <v>44663</v>
      </c>
      <c r="B208" t="s">
        <v>42</v>
      </c>
      <c r="C208" t="s">
        <v>41</v>
      </c>
      <c r="D208" t="s">
        <v>32</v>
      </c>
      <c r="E208" t="s">
        <v>45</v>
      </c>
      <c r="F208" t="s">
        <v>26</v>
      </c>
      <c r="G208">
        <v>978</v>
      </c>
      <c r="H208">
        <v>4244</v>
      </c>
      <c r="I208">
        <v>5670.8292369999999</v>
      </c>
      <c r="J208" t="b">
        <v>1</v>
      </c>
      <c r="K208">
        <v>28</v>
      </c>
      <c r="L208" t="b">
        <v>0</v>
      </c>
      <c r="M208">
        <v>148307.55319999999</v>
      </c>
      <c r="N208">
        <v>2214</v>
      </c>
      <c r="O208">
        <v>7395</v>
      </c>
      <c r="P208" t="s">
        <v>27</v>
      </c>
      <c r="Q208">
        <v>0.44173441734417346</v>
      </c>
      <c r="R208" t="s">
        <v>37</v>
      </c>
      <c r="S208">
        <v>5.7983939028629852</v>
      </c>
      <c r="T208">
        <v>0.29939148073022315</v>
      </c>
      <c r="U208" t="s">
        <v>34</v>
      </c>
      <c r="V208">
        <v>0</v>
      </c>
    </row>
    <row r="209" spans="1:22" x14ac:dyDescent="0.3">
      <c r="A209" s="1">
        <v>44664</v>
      </c>
      <c r="B209" t="s">
        <v>38</v>
      </c>
      <c r="C209" t="s">
        <v>44</v>
      </c>
      <c r="D209" t="s">
        <v>46</v>
      </c>
      <c r="E209" t="s">
        <v>33</v>
      </c>
      <c r="F209" t="s">
        <v>26</v>
      </c>
      <c r="G209">
        <v>235</v>
      </c>
      <c r="H209">
        <v>184</v>
      </c>
      <c r="I209">
        <v>12853.554179999999</v>
      </c>
      <c r="J209" t="b">
        <v>1</v>
      </c>
      <c r="K209">
        <v>14</v>
      </c>
      <c r="L209" t="b">
        <v>0</v>
      </c>
      <c r="M209">
        <v>11702.375620000001</v>
      </c>
      <c r="N209">
        <v>1716.5</v>
      </c>
      <c r="O209">
        <v>6542</v>
      </c>
      <c r="P209" t="s">
        <v>36</v>
      </c>
      <c r="Q209">
        <v>0.13690649577628897</v>
      </c>
      <c r="R209" t="s">
        <v>28</v>
      </c>
      <c r="S209">
        <v>54.69597523404255</v>
      </c>
      <c r="T209">
        <v>0.26238153469886882</v>
      </c>
      <c r="U209" t="s">
        <v>34</v>
      </c>
      <c r="V209">
        <v>0</v>
      </c>
    </row>
    <row r="210" spans="1:22" x14ac:dyDescent="0.3">
      <c r="A210" s="1">
        <v>44665</v>
      </c>
      <c r="B210" t="s">
        <v>42</v>
      </c>
      <c r="C210" t="s">
        <v>41</v>
      </c>
      <c r="D210" t="s">
        <v>24</v>
      </c>
      <c r="E210" t="s">
        <v>25</v>
      </c>
      <c r="F210" t="s">
        <v>26</v>
      </c>
      <c r="G210">
        <v>470</v>
      </c>
      <c r="H210">
        <v>3249</v>
      </c>
      <c r="I210">
        <v>10683.7122</v>
      </c>
      <c r="J210" t="b">
        <v>1</v>
      </c>
      <c r="K210">
        <v>20</v>
      </c>
      <c r="L210" t="b">
        <v>0</v>
      </c>
      <c r="M210">
        <v>81416.414000000004</v>
      </c>
      <c r="N210">
        <v>3581.5</v>
      </c>
      <c r="O210">
        <v>6135</v>
      </c>
      <c r="P210" t="s">
        <v>36</v>
      </c>
      <c r="Q210">
        <v>0.13122993159290799</v>
      </c>
      <c r="R210" t="s">
        <v>37</v>
      </c>
      <c r="S210">
        <v>22.73130255319149</v>
      </c>
      <c r="T210">
        <v>0.58378158109209455</v>
      </c>
      <c r="U210" t="s">
        <v>29</v>
      </c>
      <c r="V210">
        <v>0</v>
      </c>
    </row>
    <row r="211" spans="1:22" x14ac:dyDescent="0.3">
      <c r="A211" s="1">
        <v>44666</v>
      </c>
      <c r="B211" t="s">
        <v>38</v>
      </c>
      <c r="C211" t="s">
        <v>44</v>
      </c>
      <c r="D211" t="s">
        <v>32</v>
      </c>
      <c r="E211" t="s">
        <v>45</v>
      </c>
      <c r="F211" t="s">
        <v>26</v>
      </c>
      <c r="G211">
        <v>471</v>
      </c>
      <c r="H211">
        <v>3914</v>
      </c>
      <c r="I211">
        <v>7557.8902010000002</v>
      </c>
      <c r="J211" t="b">
        <v>1</v>
      </c>
      <c r="K211">
        <v>5</v>
      </c>
      <c r="L211" t="b">
        <v>0</v>
      </c>
      <c r="M211">
        <v>32127.892360000002</v>
      </c>
      <c r="N211">
        <v>2447</v>
      </c>
      <c r="O211">
        <v>5442</v>
      </c>
      <c r="P211" t="s">
        <v>27</v>
      </c>
      <c r="Q211">
        <v>0.1924805884756845</v>
      </c>
      <c r="R211" t="s">
        <v>40</v>
      </c>
      <c r="S211">
        <v>16.046476010615713</v>
      </c>
      <c r="T211">
        <v>0.44965086365306872</v>
      </c>
      <c r="U211" t="s">
        <v>29</v>
      </c>
      <c r="V211">
        <v>0</v>
      </c>
    </row>
    <row r="212" spans="1:22" x14ac:dyDescent="0.3">
      <c r="A212" s="1">
        <v>44667</v>
      </c>
      <c r="B212" t="s">
        <v>42</v>
      </c>
      <c r="C212" t="s">
        <v>31</v>
      </c>
      <c r="D212" t="s">
        <v>46</v>
      </c>
      <c r="E212" t="s">
        <v>45</v>
      </c>
      <c r="F212" t="s">
        <v>26</v>
      </c>
      <c r="G212">
        <v>797</v>
      </c>
      <c r="H212">
        <v>980</v>
      </c>
      <c r="I212">
        <v>14248.878350000001</v>
      </c>
      <c r="J212" t="b">
        <v>1</v>
      </c>
      <c r="K212">
        <v>3</v>
      </c>
      <c r="L212" t="b">
        <v>0</v>
      </c>
      <c r="M212">
        <v>158947.94149999999</v>
      </c>
      <c r="N212">
        <v>1148</v>
      </c>
      <c r="O212">
        <v>6090</v>
      </c>
      <c r="P212" t="s">
        <v>36</v>
      </c>
      <c r="Q212">
        <v>0.69425087108013939</v>
      </c>
      <c r="R212" t="s">
        <v>40</v>
      </c>
      <c r="S212">
        <v>17.878140966122963</v>
      </c>
      <c r="T212">
        <v>0.18850574712643678</v>
      </c>
      <c r="U212" t="s">
        <v>34</v>
      </c>
      <c r="V212">
        <v>0</v>
      </c>
    </row>
    <row r="213" spans="1:22" x14ac:dyDescent="0.3">
      <c r="A213" s="1">
        <v>44668</v>
      </c>
      <c r="B213" t="s">
        <v>38</v>
      </c>
      <c r="C213" t="s">
        <v>44</v>
      </c>
      <c r="D213" t="s">
        <v>24</v>
      </c>
      <c r="E213" t="s">
        <v>45</v>
      </c>
      <c r="F213" t="s">
        <v>26</v>
      </c>
      <c r="G213">
        <v>771</v>
      </c>
      <c r="H213">
        <v>1316</v>
      </c>
      <c r="I213">
        <v>13306.29927</v>
      </c>
      <c r="J213" t="b">
        <v>1</v>
      </c>
      <c r="K213">
        <v>9</v>
      </c>
      <c r="L213" t="b">
        <v>0</v>
      </c>
      <c r="M213">
        <v>28586.157510000001</v>
      </c>
      <c r="N213">
        <v>2077</v>
      </c>
      <c r="O213">
        <v>7157</v>
      </c>
      <c r="P213" t="s">
        <v>36</v>
      </c>
      <c r="Q213">
        <v>0.37120847376023108</v>
      </c>
      <c r="R213" t="s">
        <v>28</v>
      </c>
      <c r="S213">
        <v>17.258494513618675</v>
      </c>
      <c r="T213">
        <v>0.29020539332122397</v>
      </c>
      <c r="U213" t="s">
        <v>34</v>
      </c>
      <c r="V213">
        <v>0</v>
      </c>
    </row>
    <row r="214" spans="1:22" x14ac:dyDescent="0.3">
      <c r="A214" s="1">
        <v>44669</v>
      </c>
      <c r="B214" t="s">
        <v>42</v>
      </c>
      <c r="C214" t="s">
        <v>44</v>
      </c>
      <c r="D214" t="s">
        <v>24</v>
      </c>
      <c r="E214" t="s">
        <v>33</v>
      </c>
      <c r="F214" t="s">
        <v>26</v>
      </c>
      <c r="G214">
        <v>732</v>
      </c>
      <c r="H214">
        <v>2838</v>
      </c>
      <c r="I214">
        <v>10521.03512</v>
      </c>
      <c r="J214" t="b">
        <v>1</v>
      </c>
      <c r="K214">
        <v>16</v>
      </c>
      <c r="L214" t="b">
        <v>0</v>
      </c>
      <c r="M214">
        <v>57999.240449999998</v>
      </c>
      <c r="N214">
        <v>2202.5</v>
      </c>
      <c r="O214">
        <v>6317</v>
      </c>
      <c r="P214" t="s">
        <v>27</v>
      </c>
      <c r="Q214">
        <v>0.33234960272417707</v>
      </c>
      <c r="R214" t="s">
        <v>37</v>
      </c>
      <c r="S214">
        <v>14.372998797814208</v>
      </c>
      <c r="T214">
        <v>0.34866233971822069</v>
      </c>
      <c r="U214" t="s">
        <v>34</v>
      </c>
      <c r="V214">
        <v>0</v>
      </c>
    </row>
    <row r="215" spans="1:22" x14ac:dyDescent="0.3">
      <c r="A215" s="1">
        <v>44670</v>
      </c>
      <c r="B215" t="s">
        <v>42</v>
      </c>
      <c r="C215" t="s">
        <v>41</v>
      </c>
      <c r="D215" t="s">
        <v>24</v>
      </c>
      <c r="E215" t="s">
        <v>25</v>
      </c>
      <c r="F215" t="s">
        <v>26</v>
      </c>
      <c r="G215">
        <v>184</v>
      </c>
      <c r="H215">
        <v>1567</v>
      </c>
      <c r="I215">
        <v>14737.508529999999</v>
      </c>
      <c r="J215" t="b">
        <v>1</v>
      </c>
      <c r="K215">
        <v>11</v>
      </c>
      <c r="L215" t="b">
        <v>0</v>
      </c>
      <c r="M215">
        <v>35130.823109999998</v>
      </c>
      <c r="N215">
        <v>1524</v>
      </c>
      <c r="O215">
        <v>8266</v>
      </c>
      <c r="P215" t="s">
        <v>27</v>
      </c>
      <c r="Q215">
        <v>0.12073490813648294</v>
      </c>
      <c r="R215" t="s">
        <v>28</v>
      </c>
      <c r="S215">
        <v>80.095155054347828</v>
      </c>
      <c r="T215">
        <v>0.18436970723445439</v>
      </c>
      <c r="U215" t="s">
        <v>34</v>
      </c>
      <c r="V215">
        <v>0</v>
      </c>
    </row>
    <row r="216" spans="1:22" x14ac:dyDescent="0.3">
      <c r="A216" s="1">
        <v>44671</v>
      </c>
      <c r="B216" t="s">
        <v>38</v>
      </c>
      <c r="C216" t="s">
        <v>31</v>
      </c>
      <c r="D216" t="s">
        <v>46</v>
      </c>
      <c r="E216" t="s">
        <v>25</v>
      </c>
      <c r="F216" t="s">
        <v>26</v>
      </c>
      <c r="G216">
        <v>308</v>
      </c>
      <c r="H216">
        <v>1481</v>
      </c>
      <c r="I216">
        <v>10435.42108</v>
      </c>
      <c r="J216" t="b">
        <v>1</v>
      </c>
      <c r="K216">
        <v>8</v>
      </c>
      <c r="L216" t="b">
        <v>0</v>
      </c>
      <c r="M216">
        <v>26438.373009999999</v>
      </c>
      <c r="N216">
        <v>2771</v>
      </c>
      <c r="O216">
        <v>6634</v>
      </c>
      <c r="P216" t="s">
        <v>36</v>
      </c>
      <c r="Q216">
        <v>0.1111512089498376</v>
      </c>
      <c r="R216" t="s">
        <v>28</v>
      </c>
      <c r="S216">
        <v>33.881237272727276</v>
      </c>
      <c r="T216">
        <v>0.4176967138981007</v>
      </c>
      <c r="U216" t="s">
        <v>29</v>
      </c>
      <c r="V216">
        <v>0</v>
      </c>
    </row>
    <row r="217" spans="1:22" x14ac:dyDescent="0.3">
      <c r="A217" s="1">
        <v>44672</v>
      </c>
      <c r="B217" t="s">
        <v>42</v>
      </c>
      <c r="C217" t="s">
        <v>41</v>
      </c>
      <c r="D217" t="s">
        <v>24</v>
      </c>
      <c r="E217" t="s">
        <v>25</v>
      </c>
      <c r="F217" t="s">
        <v>26</v>
      </c>
      <c r="G217">
        <v>323</v>
      </c>
      <c r="H217">
        <v>4061</v>
      </c>
      <c r="I217">
        <v>3840.728537</v>
      </c>
      <c r="J217" t="b">
        <v>1</v>
      </c>
      <c r="K217">
        <v>28</v>
      </c>
      <c r="L217" t="b">
        <v>0</v>
      </c>
      <c r="M217">
        <v>40092.964390000001</v>
      </c>
      <c r="N217">
        <v>2306.5</v>
      </c>
      <c r="O217">
        <v>6656</v>
      </c>
      <c r="P217" t="s">
        <v>27</v>
      </c>
      <c r="Q217">
        <v>0.14003902016041622</v>
      </c>
      <c r="R217" t="s">
        <v>37</v>
      </c>
      <c r="S217">
        <v>11.890800424148606</v>
      </c>
      <c r="T217">
        <v>0.34652944711538464</v>
      </c>
      <c r="U217" t="s">
        <v>34</v>
      </c>
      <c r="V217">
        <v>0</v>
      </c>
    </row>
    <row r="218" spans="1:22" x14ac:dyDescent="0.3">
      <c r="A218" s="1">
        <v>44673</v>
      </c>
      <c r="B218" t="s">
        <v>22</v>
      </c>
      <c r="C218" t="s">
        <v>44</v>
      </c>
      <c r="D218" t="s">
        <v>35</v>
      </c>
      <c r="E218" t="s">
        <v>25</v>
      </c>
      <c r="F218" t="s">
        <v>26</v>
      </c>
      <c r="G218">
        <v>999</v>
      </c>
      <c r="H218">
        <v>552</v>
      </c>
      <c r="I218">
        <v>10957.754779999999</v>
      </c>
      <c r="J218" t="b">
        <v>1</v>
      </c>
      <c r="K218">
        <v>20</v>
      </c>
      <c r="L218" t="b">
        <v>0</v>
      </c>
      <c r="M218">
        <v>190841.49540000001</v>
      </c>
      <c r="N218">
        <v>2489</v>
      </c>
      <c r="O218">
        <v>9473</v>
      </c>
      <c r="P218" t="s">
        <v>36</v>
      </c>
      <c r="Q218">
        <v>0.40136601044596221</v>
      </c>
      <c r="R218" t="s">
        <v>37</v>
      </c>
      <c r="S218">
        <v>10.968723503503503</v>
      </c>
      <c r="T218">
        <v>0.26274675393222846</v>
      </c>
      <c r="U218" t="s">
        <v>34</v>
      </c>
      <c r="V218">
        <v>0</v>
      </c>
    </row>
    <row r="219" spans="1:22" x14ac:dyDescent="0.3">
      <c r="A219" s="1">
        <v>44674</v>
      </c>
      <c r="B219" t="s">
        <v>42</v>
      </c>
      <c r="C219" t="s">
        <v>31</v>
      </c>
      <c r="D219" t="s">
        <v>35</v>
      </c>
      <c r="E219" t="s">
        <v>45</v>
      </c>
      <c r="F219" t="s">
        <v>26</v>
      </c>
      <c r="G219">
        <v>221</v>
      </c>
      <c r="H219">
        <v>4426</v>
      </c>
      <c r="I219">
        <v>1405.9565399999999</v>
      </c>
      <c r="J219" t="b">
        <v>1</v>
      </c>
      <c r="K219">
        <v>26</v>
      </c>
      <c r="L219" t="b">
        <v>0</v>
      </c>
      <c r="M219">
        <v>18467.82142</v>
      </c>
      <c r="N219">
        <v>4285</v>
      </c>
      <c r="O219">
        <v>7562</v>
      </c>
      <c r="P219" t="s">
        <v>27</v>
      </c>
      <c r="Q219">
        <v>5.1575262543757293E-2</v>
      </c>
      <c r="R219" t="s">
        <v>37</v>
      </c>
      <c r="S219">
        <v>6.3617942986425335</v>
      </c>
      <c r="T219">
        <v>0.56664903464691885</v>
      </c>
      <c r="U219" t="s">
        <v>29</v>
      </c>
      <c r="V219">
        <v>0</v>
      </c>
    </row>
    <row r="220" spans="1:22" x14ac:dyDescent="0.3">
      <c r="A220" s="1">
        <v>44675</v>
      </c>
      <c r="B220" t="s">
        <v>42</v>
      </c>
      <c r="C220" t="s">
        <v>41</v>
      </c>
      <c r="D220" t="s">
        <v>32</v>
      </c>
      <c r="E220" t="s">
        <v>25</v>
      </c>
      <c r="F220" t="s">
        <v>39</v>
      </c>
      <c r="G220">
        <v>934</v>
      </c>
      <c r="H220">
        <v>4144</v>
      </c>
      <c r="I220">
        <v>9208.7961230000001</v>
      </c>
      <c r="J220" t="b">
        <v>1</v>
      </c>
      <c r="K220">
        <v>28</v>
      </c>
      <c r="L220" t="b">
        <v>0</v>
      </c>
      <c r="M220">
        <v>59462.07935</v>
      </c>
      <c r="N220">
        <v>4190.5</v>
      </c>
      <c r="O220">
        <v>8595</v>
      </c>
      <c r="P220" t="s">
        <v>36</v>
      </c>
      <c r="Q220">
        <v>0.22288509724376565</v>
      </c>
      <c r="R220" t="s">
        <v>37</v>
      </c>
      <c r="S220">
        <v>9.8595247569593152</v>
      </c>
      <c r="T220">
        <v>0.48755090168702736</v>
      </c>
      <c r="U220" t="s">
        <v>29</v>
      </c>
      <c r="V220">
        <v>0</v>
      </c>
    </row>
    <row r="221" spans="1:22" x14ac:dyDescent="0.3">
      <c r="A221" s="1">
        <v>44676</v>
      </c>
      <c r="B221" t="s">
        <v>42</v>
      </c>
      <c r="C221" t="s">
        <v>23</v>
      </c>
      <c r="D221" t="s">
        <v>24</v>
      </c>
      <c r="E221" t="s">
        <v>45</v>
      </c>
      <c r="F221" t="s">
        <v>26</v>
      </c>
      <c r="G221">
        <v>536</v>
      </c>
      <c r="H221">
        <v>4237</v>
      </c>
      <c r="I221">
        <v>7737.9625820000001</v>
      </c>
      <c r="J221" t="b">
        <v>1</v>
      </c>
      <c r="K221">
        <v>27</v>
      </c>
      <c r="L221" t="b">
        <v>0</v>
      </c>
      <c r="M221">
        <v>97347.788289999997</v>
      </c>
      <c r="N221">
        <v>3688</v>
      </c>
      <c r="O221">
        <v>7470</v>
      </c>
      <c r="P221" t="s">
        <v>27</v>
      </c>
      <c r="Q221">
        <v>0.14533622559652928</v>
      </c>
      <c r="R221" t="s">
        <v>37</v>
      </c>
      <c r="S221">
        <v>14.436497354477613</v>
      </c>
      <c r="T221">
        <v>0.49370816599732265</v>
      </c>
      <c r="U221" t="s">
        <v>29</v>
      </c>
      <c r="V221">
        <v>0</v>
      </c>
    </row>
    <row r="222" spans="1:22" x14ac:dyDescent="0.3">
      <c r="A222" s="1">
        <v>44677</v>
      </c>
      <c r="B222" t="s">
        <v>38</v>
      </c>
      <c r="C222" t="s">
        <v>23</v>
      </c>
      <c r="D222" t="s">
        <v>46</v>
      </c>
      <c r="E222" t="s">
        <v>33</v>
      </c>
      <c r="F222" t="s">
        <v>26</v>
      </c>
      <c r="G222">
        <v>741</v>
      </c>
      <c r="H222">
        <v>3139</v>
      </c>
      <c r="I222">
        <v>976.4221172</v>
      </c>
      <c r="J222" t="b">
        <v>1</v>
      </c>
      <c r="K222">
        <v>23</v>
      </c>
      <c r="L222" t="b">
        <v>0</v>
      </c>
      <c r="M222">
        <v>32993.29363</v>
      </c>
      <c r="N222">
        <v>4056</v>
      </c>
      <c r="O222">
        <v>6923</v>
      </c>
      <c r="P222" t="s">
        <v>36</v>
      </c>
      <c r="Q222">
        <v>0.18269230769230768</v>
      </c>
      <c r="R222" t="s">
        <v>37</v>
      </c>
      <c r="S222">
        <v>1.3177086601889338</v>
      </c>
      <c r="T222">
        <v>0.58587317636862635</v>
      </c>
      <c r="U222" t="s">
        <v>29</v>
      </c>
      <c r="V222">
        <v>0</v>
      </c>
    </row>
    <row r="223" spans="1:22" x14ac:dyDescent="0.3">
      <c r="A223" s="1">
        <v>44678</v>
      </c>
      <c r="B223" t="s">
        <v>42</v>
      </c>
      <c r="C223" t="s">
        <v>31</v>
      </c>
      <c r="D223" t="s">
        <v>46</v>
      </c>
      <c r="E223" t="s">
        <v>25</v>
      </c>
      <c r="F223" t="s">
        <v>43</v>
      </c>
      <c r="G223">
        <v>819</v>
      </c>
      <c r="H223">
        <v>4973</v>
      </c>
      <c r="I223">
        <v>1872.874362</v>
      </c>
      <c r="J223" t="b">
        <v>1</v>
      </c>
      <c r="K223">
        <v>3</v>
      </c>
      <c r="L223" t="b">
        <v>0</v>
      </c>
      <c r="M223">
        <v>126908.56939999999</v>
      </c>
      <c r="N223">
        <v>4611.5</v>
      </c>
      <c r="O223">
        <v>8155</v>
      </c>
      <c r="P223" t="s">
        <v>27</v>
      </c>
      <c r="Q223">
        <v>0.17759947956196465</v>
      </c>
      <c r="R223" t="s">
        <v>40</v>
      </c>
      <c r="S223">
        <v>2.2867818827838828</v>
      </c>
      <c r="T223">
        <v>0.56548129981606376</v>
      </c>
      <c r="U223" t="s">
        <v>29</v>
      </c>
      <c r="V223">
        <v>0</v>
      </c>
    </row>
    <row r="224" spans="1:22" x14ac:dyDescent="0.3">
      <c r="A224" s="1">
        <v>44679</v>
      </c>
      <c r="B224" t="s">
        <v>42</v>
      </c>
      <c r="C224" t="s">
        <v>23</v>
      </c>
      <c r="D224" t="s">
        <v>32</v>
      </c>
      <c r="E224" t="s">
        <v>33</v>
      </c>
      <c r="F224" t="s">
        <v>26</v>
      </c>
      <c r="G224">
        <v>320</v>
      </c>
      <c r="H224">
        <v>4250</v>
      </c>
      <c r="I224">
        <v>1219.105869</v>
      </c>
      <c r="J224" t="b">
        <v>1</v>
      </c>
      <c r="K224">
        <v>15</v>
      </c>
      <c r="L224" t="b">
        <v>0</v>
      </c>
      <c r="M224">
        <v>24644.637760000001</v>
      </c>
      <c r="N224">
        <v>2447.5</v>
      </c>
      <c r="O224">
        <v>8231</v>
      </c>
      <c r="P224" t="s">
        <v>27</v>
      </c>
      <c r="Q224">
        <v>0.13074565883554648</v>
      </c>
      <c r="R224" t="s">
        <v>37</v>
      </c>
      <c r="S224">
        <v>3.809705840625</v>
      </c>
      <c r="T224">
        <v>0.29735147612683754</v>
      </c>
      <c r="U224" t="s">
        <v>34</v>
      </c>
      <c r="V224">
        <v>0</v>
      </c>
    </row>
    <row r="225" spans="1:22" x14ac:dyDescent="0.3">
      <c r="A225" s="1">
        <v>44680</v>
      </c>
      <c r="B225" t="s">
        <v>42</v>
      </c>
      <c r="C225" t="s">
        <v>23</v>
      </c>
      <c r="D225" t="s">
        <v>46</v>
      </c>
      <c r="E225" t="s">
        <v>33</v>
      </c>
      <c r="F225" t="s">
        <v>26</v>
      </c>
      <c r="G225">
        <v>166</v>
      </c>
      <c r="H225">
        <v>645</v>
      </c>
      <c r="I225">
        <v>9256.8464330000006</v>
      </c>
      <c r="J225" t="b">
        <v>1</v>
      </c>
      <c r="K225">
        <v>12</v>
      </c>
      <c r="L225" t="b">
        <v>1</v>
      </c>
      <c r="M225">
        <v>23022.1306</v>
      </c>
      <c r="N225">
        <v>662</v>
      </c>
      <c r="O225">
        <v>6222</v>
      </c>
      <c r="P225" t="s">
        <v>36</v>
      </c>
      <c r="Q225">
        <v>0.25075528700906347</v>
      </c>
      <c r="R225" t="s">
        <v>28</v>
      </c>
      <c r="S225">
        <v>55.764135138554224</v>
      </c>
      <c r="T225">
        <v>0.10639665702346512</v>
      </c>
      <c r="U225" t="s">
        <v>34</v>
      </c>
      <c r="V225">
        <v>1</v>
      </c>
    </row>
    <row r="226" spans="1:22" x14ac:dyDescent="0.3">
      <c r="A226" s="1">
        <v>44681</v>
      </c>
      <c r="B226" t="s">
        <v>38</v>
      </c>
      <c r="C226" t="s">
        <v>31</v>
      </c>
      <c r="D226" t="s">
        <v>24</v>
      </c>
      <c r="E226" t="s">
        <v>45</v>
      </c>
      <c r="F226" t="s">
        <v>26</v>
      </c>
      <c r="G226">
        <v>751</v>
      </c>
      <c r="H226">
        <v>679</v>
      </c>
      <c r="I226">
        <v>4678.3855819999999</v>
      </c>
      <c r="J226" t="b">
        <v>1</v>
      </c>
      <c r="K226">
        <v>19</v>
      </c>
      <c r="L226" t="b">
        <v>0</v>
      </c>
      <c r="M226">
        <v>27714.749049999999</v>
      </c>
      <c r="N226">
        <v>2305.5</v>
      </c>
      <c r="O226">
        <v>5979</v>
      </c>
      <c r="P226" t="s">
        <v>36</v>
      </c>
      <c r="Q226">
        <v>0.32574278898286707</v>
      </c>
      <c r="R226" t="s">
        <v>37</v>
      </c>
      <c r="S226">
        <v>6.229541387483355</v>
      </c>
      <c r="T226">
        <v>0.3855995985950828</v>
      </c>
      <c r="U226" t="s">
        <v>34</v>
      </c>
      <c r="V226">
        <v>0</v>
      </c>
    </row>
    <row r="227" spans="1:22" x14ac:dyDescent="0.3">
      <c r="A227" s="1">
        <v>44682</v>
      </c>
      <c r="B227" t="s">
        <v>42</v>
      </c>
      <c r="C227" t="s">
        <v>41</v>
      </c>
      <c r="D227" t="s">
        <v>46</v>
      </c>
      <c r="E227" t="s">
        <v>25</v>
      </c>
      <c r="F227" t="s">
        <v>43</v>
      </c>
      <c r="G227">
        <v>796</v>
      </c>
      <c r="H227">
        <v>3932</v>
      </c>
      <c r="I227">
        <v>6749.3241539999999</v>
      </c>
      <c r="J227" t="b">
        <v>1</v>
      </c>
      <c r="K227">
        <v>4</v>
      </c>
      <c r="L227" t="b">
        <v>1</v>
      </c>
      <c r="M227">
        <v>120204.0788</v>
      </c>
      <c r="N227">
        <v>2198</v>
      </c>
      <c r="O227">
        <v>7770</v>
      </c>
      <c r="P227" t="s">
        <v>27</v>
      </c>
      <c r="Q227">
        <v>0.36214740673339402</v>
      </c>
      <c r="R227" t="s">
        <v>40</v>
      </c>
      <c r="S227">
        <v>8.4790504447236188</v>
      </c>
      <c r="T227">
        <v>0.28288288288288288</v>
      </c>
      <c r="U227" t="s">
        <v>34</v>
      </c>
      <c r="V227">
        <v>1</v>
      </c>
    </row>
    <row r="228" spans="1:22" x14ac:dyDescent="0.3">
      <c r="A228" s="1">
        <v>44683</v>
      </c>
      <c r="B228" t="s">
        <v>30</v>
      </c>
      <c r="C228" t="s">
        <v>44</v>
      </c>
      <c r="D228" t="s">
        <v>35</v>
      </c>
      <c r="E228" t="s">
        <v>25</v>
      </c>
      <c r="F228" t="s">
        <v>26</v>
      </c>
      <c r="G228">
        <v>210</v>
      </c>
      <c r="H228">
        <v>464</v>
      </c>
      <c r="I228">
        <v>9524.4510059999993</v>
      </c>
      <c r="J228" t="b">
        <v>1</v>
      </c>
      <c r="K228">
        <v>1</v>
      </c>
      <c r="L228" t="b">
        <v>1</v>
      </c>
      <c r="M228">
        <v>16534.905729999999</v>
      </c>
      <c r="N228">
        <v>291</v>
      </c>
      <c r="O228">
        <v>8865</v>
      </c>
      <c r="P228" t="s">
        <v>27</v>
      </c>
      <c r="Q228">
        <v>0.72164948453608246</v>
      </c>
      <c r="R228" t="s">
        <v>40</v>
      </c>
      <c r="S228">
        <v>45.354528599999995</v>
      </c>
      <c r="T228">
        <v>3.2825719120135363E-2</v>
      </c>
      <c r="U228" t="s">
        <v>34</v>
      </c>
      <c r="V228">
        <v>1</v>
      </c>
    </row>
    <row r="229" spans="1:22" x14ac:dyDescent="0.3">
      <c r="A229" s="1">
        <v>44684</v>
      </c>
      <c r="B229" t="s">
        <v>22</v>
      </c>
      <c r="C229" t="s">
        <v>41</v>
      </c>
      <c r="D229" t="s">
        <v>32</v>
      </c>
      <c r="E229" t="s">
        <v>45</v>
      </c>
      <c r="F229" t="s">
        <v>43</v>
      </c>
      <c r="G229">
        <v>590</v>
      </c>
      <c r="H229">
        <v>118</v>
      </c>
      <c r="I229">
        <v>14992.284470000001</v>
      </c>
      <c r="J229" t="b">
        <v>1</v>
      </c>
      <c r="K229">
        <v>27</v>
      </c>
      <c r="L229" t="b">
        <v>0</v>
      </c>
      <c r="M229">
        <v>100240.7083</v>
      </c>
      <c r="N229">
        <v>542.5</v>
      </c>
      <c r="O229">
        <v>5604</v>
      </c>
      <c r="P229" t="s">
        <v>36</v>
      </c>
      <c r="Q229">
        <v>1.0875576036866359</v>
      </c>
      <c r="R229" t="s">
        <v>37</v>
      </c>
      <c r="S229">
        <v>25.410651644067798</v>
      </c>
      <c r="T229">
        <v>9.6805852962169883E-2</v>
      </c>
      <c r="U229" t="s">
        <v>34</v>
      </c>
      <c r="V229">
        <v>0</v>
      </c>
    </row>
    <row r="230" spans="1:22" x14ac:dyDescent="0.3">
      <c r="A230" s="1">
        <v>44685</v>
      </c>
      <c r="B230" t="s">
        <v>30</v>
      </c>
      <c r="C230" t="s">
        <v>44</v>
      </c>
      <c r="D230" t="s">
        <v>24</v>
      </c>
      <c r="E230" t="s">
        <v>45</v>
      </c>
      <c r="F230" t="s">
        <v>26</v>
      </c>
      <c r="G230">
        <v>808</v>
      </c>
      <c r="H230">
        <v>967</v>
      </c>
      <c r="I230">
        <v>2588.0467469999999</v>
      </c>
      <c r="J230" t="b">
        <v>1</v>
      </c>
      <c r="K230">
        <v>6</v>
      </c>
      <c r="L230" t="b">
        <v>0</v>
      </c>
      <c r="M230">
        <v>69809.775089999996</v>
      </c>
      <c r="N230">
        <v>1767</v>
      </c>
      <c r="O230">
        <v>8370</v>
      </c>
      <c r="P230" t="s">
        <v>36</v>
      </c>
      <c r="Q230">
        <v>0.4572722127900396</v>
      </c>
      <c r="R230" t="s">
        <v>40</v>
      </c>
      <c r="S230">
        <v>3.2030281522277226</v>
      </c>
      <c r="T230">
        <v>0.21111111111111111</v>
      </c>
      <c r="U230" t="s">
        <v>34</v>
      </c>
      <c r="V230">
        <v>0</v>
      </c>
    </row>
    <row r="231" spans="1:22" x14ac:dyDescent="0.3">
      <c r="A231" s="1">
        <v>44686</v>
      </c>
      <c r="B231" t="s">
        <v>42</v>
      </c>
      <c r="C231" t="s">
        <v>31</v>
      </c>
      <c r="D231" t="s">
        <v>46</v>
      </c>
      <c r="E231" t="s">
        <v>33</v>
      </c>
      <c r="F231" t="s">
        <v>26</v>
      </c>
      <c r="G231">
        <v>893</v>
      </c>
      <c r="H231">
        <v>2567</v>
      </c>
      <c r="I231">
        <v>3373.9908460000001</v>
      </c>
      <c r="J231" t="b">
        <v>1</v>
      </c>
      <c r="K231">
        <v>12</v>
      </c>
      <c r="L231" t="b">
        <v>0</v>
      </c>
      <c r="M231">
        <v>28308.982370000002</v>
      </c>
      <c r="N231">
        <v>3412</v>
      </c>
      <c r="O231">
        <v>8913</v>
      </c>
      <c r="P231" t="s">
        <v>36</v>
      </c>
      <c r="Q231">
        <v>0.26172332942555687</v>
      </c>
      <c r="R231" t="s">
        <v>28</v>
      </c>
      <c r="S231">
        <v>3.7782652250839868</v>
      </c>
      <c r="T231">
        <v>0.38281162347133402</v>
      </c>
      <c r="U231" t="s">
        <v>34</v>
      </c>
      <c r="V231">
        <v>0</v>
      </c>
    </row>
    <row r="232" spans="1:22" x14ac:dyDescent="0.3">
      <c r="A232" s="1">
        <v>44687</v>
      </c>
      <c r="B232" t="s">
        <v>30</v>
      </c>
      <c r="C232" t="s">
        <v>23</v>
      </c>
      <c r="D232" t="s">
        <v>24</v>
      </c>
      <c r="E232" t="s">
        <v>45</v>
      </c>
      <c r="F232" t="s">
        <v>43</v>
      </c>
      <c r="G232">
        <v>454</v>
      </c>
      <c r="H232">
        <v>4257</v>
      </c>
      <c r="I232">
        <v>10023.82085</v>
      </c>
      <c r="J232" t="b">
        <v>1</v>
      </c>
      <c r="K232">
        <v>23</v>
      </c>
      <c r="L232" t="b">
        <v>0</v>
      </c>
      <c r="M232">
        <v>30627.55848</v>
      </c>
      <c r="N232">
        <v>2200.5</v>
      </c>
      <c r="O232">
        <v>5993</v>
      </c>
      <c r="P232" t="s">
        <v>27</v>
      </c>
      <c r="Q232">
        <v>0.2063167461940468</v>
      </c>
      <c r="R232" t="s">
        <v>37</v>
      </c>
      <c r="S232">
        <v>22.078900550660794</v>
      </c>
      <c r="T232">
        <v>0.36717837477056564</v>
      </c>
      <c r="U232" t="s">
        <v>34</v>
      </c>
      <c r="V232">
        <v>0</v>
      </c>
    </row>
    <row r="233" spans="1:22" x14ac:dyDescent="0.3">
      <c r="A233" s="1">
        <v>44688</v>
      </c>
      <c r="B233" t="s">
        <v>38</v>
      </c>
      <c r="C233" t="s">
        <v>44</v>
      </c>
      <c r="D233" t="s">
        <v>24</v>
      </c>
      <c r="E233" t="s">
        <v>25</v>
      </c>
      <c r="F233" t="s">
        <v>26</v>
      </c>
      <c r="G233">
        <v>295</v>
      </c>
      <c r="H233">
        <v>144</v>
      </c>
      <c r="I233">
        <v>4159.8248670000003</v>
      </c>
      <c r="J233" t="b">
        <v>1</v>
      </c>
      <c r="K233">
        <v>18</v>
      </c>
      <c r="L233" t="b">
        <v>0</v>
      </c>
      <c r="M233">
        <v>8544.7983000000004</v>
      </c>
      <c r="N233">
        <v>328.5</v>
      </c>
      <c r="O233">
        <v>9362</v>
      </c>
      <c r="P233" t="s">
        <v>36</v>
      </c>
      <c r="Q233">
        <v>0.89802130898021304</v>
      </c>
      <c r="R233" t="s">
        <v>37</v>
      </c>
      <c r="S233">
        <v>14.101101244067797</v>
      </c>
      <c r="T233">
        <v>3.5088656270027774E-2</v>
      </c>
      <c r="U233" t="s">
        <v>34</v>
      </c>
      <c r="V233">
        <v>0</v>
      </c>
    </row>
    <row r="234" spans="1:22" x14ac:dyDescent="0.3">
      <c r="A234" s="1">
        <v>44689</v>
      </c>
      <c r="B234" t="s">
        <v>38</v>
      </c>
      <c r="C234" t="s">
        <v>31</v>
      </c>
      <c r="D234" t="s">
        <v>46</v>
      </c>
      <c r="E234" t="s">
        <v>45</v>
      </c>
      <c r="F234" t="s">
        <v>26</v>
      </c>
      <c r="G234">
        <v>954</v>
      </c>
      <c r="H234">
        <v>513</v>
      </c>
      <c r="I234">
        <v>10847.95508</v>
      </c>
      <c r="J234" t="b">
        <v>0</v>
      </c>
      <c r="K234">
        <v>21</v>
      </c>
      <c r="L234" t="b">
        <v>1</v>
      </c>
      <c r="M234">
        <v>22920.781299999999</v>
      </c>
      <c r="N234">
        <v>507.5</v>
      </c>
      <c r="O234">
        <v>7275</v>
      </c>
      <c r="P234" t="s">
        <v>27</v>
      </c>
      <c r="Q234">
        <v>1.8798029556650246</v>
      </c>
      <c r="R234" t="s">
        <v>37</v>
      </c>
      <c r="S234">
        <v>11.371022096436059</v>
      </c>
      <c r="T234">
        <v>6.9759450171821308E-2</v>
      </c>
      <c r="U234" t="s">
        <v>34</v>
      </c>
      <c r="V234">
        <v>1</v>
      </c>
    </row>
    <row r="235" spans="1:22" x14ac:dyDescent="0.3">
      <c r="A235" s="1">
        <v>44690</v>
      </c>
      <c r="B235" t="s">
        <v>22</v>
      </c>
      <c r="C235" t="s">
        <v>23</v>
      </c>
      <c r="D235" t="s">
        <v>24</v>
      </c>
      <c r="E235" t="s">
        <v>25</v>
      </c>
      <c r="F235" t="s">
        <v>26</v>
      </c>
      <c r="G235">
        <v>472</v>
      </c>
      <c r="H235">
        <v>502</v>
      </c>
      <c r="I235">
        <v>10765.14328</v>
      </c>
      <c r="J235" t="b">
        <v>1</v>
      </c>
      <c r="K235">
        <v>5</v>
      </c>
      <c r="L235" t="b">
        <v>0</v>
      </c>
      <c r="M235">
        <v>20739.559959999999</v>
      </c>
      <c r="N235">
        <v>2515</v>
      </c>
      <c r="O235">
        <v>9034</v>
      </c>
      <c r="P235" t="s">
        <v>36</v>
      </c>
      <c r="Q235">
        <v>0.18767395626242545</v>
      </c>
      <c r="R235" t="s">
        <v>40</v>
      </c>
      <c r="S235">
        <v>22.807506949152543</v>
      </c>
      <c r="T235">
        <v>0.27839273854328095</v>
      </c>
      <c r="U235" t="s">
        <v>34</v>
      </c>
      <c r="V235">
        <v>0</v>
      </c>
    </row>
    <row r="236" spans="1:22" x14ac:dyDescent="0.3">
      <c r="A236" s="1">
        <v>44691</v>
      </c>
      <c r="B236" t="s">
        <v>22</v>
      </c>
      <c r="C236" t="s">
        <v>31</v>
      </c>
      <c r="D236" t="s">
        <v>46</v>
      </c>
      <c r="E236" t="s">
        <v>45</v>
      </c>
      <c r="F236" t="s">
        <v>43</v>
      </c>
      <c r="G236">
        <v>204</v>
      </c>
      <c r="H236">
        <v>4528</v>
      </c>
      <c r="I236">
        <v>13175.449360000001</v>
      </c>
      <c r="J236" t="b">
        <v>1</v>
      </c>
      <c r="K236">
        <v>7</v>
      </c>
      <c r="L236" t="b">
        <v>0</v>
      </c>
      <c r="M236">
        <v>8976.6856879999996</v>
      </c>
      <c r="N236">
        <v>3356</v>
      </c>
      <c r="O236">
        <v>5286</v>
      </c>
      <c r="P236" t="s">
        <v>27</v>
      </c>
      <c r="Q236">
        <v>6.0786650774731825E-2</v>
      </c>
      <c r="R236" t="s">
        <v>40</v>
      </c>
      <c r="S236">
        <v>64.585536078431375</v>
      </c>
      <c r="T236">
        <v>0.6348846008323874</v>
      </c>
      <c r="U236" t="s">
        <v>29</v>
      </c>
      <c r="V236">
        <v>0</v>
      </c>
    </row>
    <row r="237" spans="1:22" x14ac:dyDescent="0.3">
      <c r="A237" s="1">
        <v>44692</v>
      </c>
      <c r="B237" t="s">
        <v>30</v>
      </c>
      <c r="C237" t="s">
        <v>44</v>
      </c>
      <c r="D237" t="s">
        <v>32</v>
      </c>
      <c r="E237" t="s">
        <v>25</v>
      </c>
      <c r="F237" t="s">
        <v>39</v>
      </c>
      <c r="G237">
        <v>911</v>
      </c>
      <c r="H237">
        <v>2184</v>
      </c>
      <c r="I237">
        <v>14339.13031</v>
      </c>
      <c r="J237" t="b">
        <v>1</v>
      </c>
      <c r="K237">
        <v>6</v>
      </c>
      <c r="L237" t="b">
        <v>1</v>
      </c>
      <c r="M237">
        <v>140312.43340000001</v>
      </c>
      <c r="N237">
        <v>2670.5</v>
      </c>
      <c r="O237">
        <v>6204</v>
      </c>
      <c r="P237" t="s">
        <v>36</v>
      </c>
      <c r="Q237">
        <v>0.34113461898520875</v>
      </c>
      <c r="R237" t="s">
        <v>40</v>
      </c>
      <c r="S237">
        <v>15.739989363336992</v>
      </c>
      <c r="T237">
        <v>0.43044809800128947</v>
      </c>
      <c r="U237" t="s">
        <v>29</v>
      </c>
      <c r="V237">
        <v>1</v>
      </c>
    </row>
    <row r="238" spans="1:22" x14ac:dyDescent="0.3">
      <c r="A238" s="1">
        <v>44693</v>
      </c>
      <c r="B238" t="s">
        <v>30</v>
      </c>
      <c r="C238" t="s">
        <v>23</v>
      </c>
      <c r="D238" t="s">
        <v>46</v>
      </c>
      <c r="E238" t="s">
        <v>45</v>
      </c>
      <c r="F238" t="s">
        <v>43</v>
      </c>
      <c r="G238">
        <v>679</v>
      </c>
      <c r="H238">
        <v>3157</v>
      </c>
      <c r="I238">
        <v>5990.7760449999996</v>
      </c>
      <c r="J238" t="b">
        <v>1</v>
      </c>
      <c r="K238">
        <v>20</v>
      </c>
      <c r="L238" t="b">
        <v>0</v>
      </c>
      <c r="M238">
        <v>17547.27853</v>
      </c>
      <c r="N238">
        <v>2627.5</v>
      </c>
      <c r="O238">
        <v>8776</v>
      </c>
      <c r="P238" t="s">
        <v>27</v>
      </c>
      <c r="Q238">
        <v>0.25842055185537582</v>
      </c>
      <c r="R238" t="s">
        <v>37</v>
      </c>
      <c r="S238">
        <v>8.8229396833578786</v>
      </c>
      <c r="T238">
        <v>0.2993960802187785</v>
      </c>
      <c r="U238" t="s">
        <v>34</v>
      </c>
      <c r="V238">
        <v>0</v>
      </c>
    </row>
    <row r="239" spans="1:22" x14ac:dyDescent="0.3">
      <c r="A239" s="1">
        <v>44694</v>
      </c>
      <c r="B239" t="s">
        <v>38</v>
      </c>
      <c r="C239" t="s">
        <v>31</v>
      </c>
      <c r="D239" t="s">
        <v>32</v>
      </c>
      <c r="E239" t="s">
        <v>45</v>
      </c>
      <c r="F239" t="s">
        <v>26</v>
      </c>
      <c r="G239">
        <v>573</v>
      </c>
      <c r="H239">
        <v>2098</v>
      </c>
      <c r="I239">
        <v>10154.937610000001</v>
      </c>
      <c r="J239" t="b">
        <v>0</v>
      </c>
      <c r="K239">
        <v>29</v>
      </c>
      <c r="L239" t="b">
        <v>0</v>
      </c>
      <c r="M239">
        <v>18829.4954</v>
      </c>
      <c r="N239">
        <v>1181</v>
      </c>
      <c r="O239">
        <v>8116</v>
      </c>
      <c r="P239" t="s">
        <v>27</v>
      </c>
      <c r="Q239">
        <v>0.48518204911092294</v>
      </c>
      <c r="R239" t="s">
        <v>37</v>
      </c>
      <c r="S239">
        <v>17.722404205933685</v>
      </c>
      <c r="T239">
        <v>0.14551503203548546</v>
      </c>
      <c r="U239" t="s">
        <v>34</v>
      </c>
      <c r="V239">
        <v>0</v>
      </c>
    </row>
    <row r="240" spans="1:22" x14ac:dyDescent="0.3">
      <c r="A240" s="1">
        <v>44695</v>
      </c>
      <c r="B240" t="s">
        <v>22</v>
      </c>
      <c r="C240" t="s">
        <v>41</v>
      </c>
      <c r="D240" t="s">
        <v>46</v>
      </c>
      <c r="E240" t="s">
        <v>45</v>
      </c>
      <c r="F240" t="s">
        <v>26</v>
      </c>
      <c r="G240">
        <v>278</v>
      </c>
      <c r="H240">
        <v>264</v>
      </c>
      <c r="I240">
        <v>9459.0664890000007</v>
      </c>
      <c r="J240" t="b">
        <v>1</v>
      </c>
      <c r="K240">
        <v>7</v>
      </c>
      <c r="L240" t="b">
        <v>0</v>
      </c>
      <c r="M240">
        <v>49521.00114</v>
      </c>
      <c r="N240">
        <v>1281</v>
      </c>
      <c r="O240">
        <v>6796</v>
      </c>
      <c r="P240" t="s">
        <v>36</v>
      </c>
      <c r="Q240">
        <v>0.21701795472287275</v>
      </c>
      <c r="R240" t="s">
        <v>40</v>
      </c>
      <c r="S240">
        <v>34.025419025179858</v>
      </c>
      <c r="T240">
        <v>0.18849323131253679</v>
      </c>
      <c r="U240" t="s">
        <v>34</v>
      </c>
      <c r="V240">
        <v>0</v>
      </c>
    </row>
    <row r="241" spans="1:22" x14ac:dyDescent="0.3">
      <c r="A241" s="1">
        <v>44696</v>
      </c>
      <c r="B241" t="s">
        <v>22</v>
      </c>
      <c r="C241" t="s">
        <v>41</v>
      </c>
      <c r="D241" t="s">
        <v>46</v>
      </c>
      <c r="E241" t="s">
        <v>25</v>
      </c>
      <c r="F241" t="s">
        <v>43</v>
      </c>
      <c r="G241">
        <v>82</v>
      </c>
      <c r="H241">
        <v>2298</v>
      </c>
      <c r="I241">
        <v>1595.232403</v>
      </c>
      <c r="J241" t="b">
        <v>1</v>
      </c>
      <c r="K241">
        <v>14</v>
      </c>
      <c r="L241" t="b">
        <v>0</v>
      </c>
      <c r="M241">
        <v>13611.925149999999</v>
      </c>
      <c r="N241">
        <v>3350</v>
      </c>
      <c r="O241">
        <v>9711</v>
      </c>
      <c r="P241" t="s">
        <v>36</v>
      </c>
      <c r="Q241">
        <v>2.4477611940298509E-2</v>
      </c>
      <c r="R241" t="s">
        <v>28</v>
      </c>
      <c r="S241">
        <v>19.454053695121949</v>
      </c>
      <c r="T241">
        <v>0.34496962207805582</v>
      </c>
      <c r="U241" t="s">
        <v>34</v>
      </c>
      <c r="V241">
        <v>0</v>
      </c>
    </row>
    <row r="242" spans="1:22" x14ac:dyDescent="0.3">
      <c r="A242" s="1">
        <v>44697</v>
      </c>
      <c r="B242" t="s">
        <v>30</v>
      </c>
      <c r="C242" t="s">
        <v>41</v>
      </c>
      <c r="D242" t="s">
        <v>35</v>
      </c>
      <c r="E242" t="s">
        <v>45</v>
      </c>
      <c r="F242" t="s">
        <v>43</v>
      </c>
      <c r="G242">
        <v>987</v>
      </c>
      <c r="H242">
        <v>4402</v>
      </c>
      <c r="I242">
        <v>7616.7493679999998</v>
      </c>
      <c r="J242" t="b">
        <v>1</v>
      </c>
      <c r="K242">
        <v>26</v>
      </c>
      <c r="L242" t="b">
        <v>0</v>
      </c>
      <c r="M242">
        <v>59649.325019999997</v>
      </c>
      <c r="N242">
        <v>3828.5</v>
      </c>
      <c r="O242">
        <v>6027</v>
      </c>
      <c r="P242" t="s">
        <v>27</v>
      </c>
      <c r="Q242">
        <v>0.25780331722606764</v>
      </c>
      <c r="R242" t="s">
        <v>37</v>
      </c>
      <c r="S242">
        <v>7.7170712948328264</v>
      </c>
      <c r="T242">
        <v>0.63522482163597149</v>
      </c>
      <c r="U242" t="s">
        <v>29</v>
      </c>
      <c r="V242">
        <v>0</v>
      </c>
    </row>
    <row r="243" spans="1:22" x14ac:dyDescent="0.3">
      <c r="A243" s="1">
        <v>44698</v>
      </c>
      <c r="B243" t="s">
        <v>38</v>
      </c>
      <c r="C243" t="s">
        <v>44</v>
      </c>
      <c r="D243" t="s">
        <v>46</v>
      </c>
      <c r="E243" t="s">
        <v>33</v>
      </c>
      <c r="F243" t="s">
        <v>26</v>
      </c>
      <c r="G243">
        <v>810</v>
      </c>
      <c r="H243">
        <v>3255</v>
      </c>
      <c r="I243">
        <v>4156.0873600000004</v>
      </c>
      <c r="J243" t="b">
        <v>1</v>
      </c>
      <c r="K243">
        <v>29</v>
      </c>
      <c r="L243" t="b">
        <v>0</v>
      </c>
      <c r="M243">
        <v>34902.753429999997</v>
      </c>
      <c r="N243">
        <v>3687.5</v>
      </c>
      <c r="O243">
        <v>8333</v>
      </c>
      <c r="P243" t="s">
        <v>36</v>
      </c>
      <c r="Q243">
        <v>0.21966101694915255</v>
      </c>
      <c r="R243" t="s">
        <v>37</v>
      </c>
      <c r="S243">
        <v>5.1309720493827164</v>
      </c>
      <c r="T243">
        <v>0.44251770070802832</v>
      </c>
      <c r="U243" t="s">
        <v>29</v>
      </c>
      <c r="V243">
        <v>0</v>
      </c>
    </row>
    <row r="244" spans="1:22" x14ac:dyDescent="0.3">
      <c r="A244" s="1">
        <v>44699</v>
      </c>
      <c r="B244" t="s">
        <v>22</v>
      </c>
      <c r="C244" t="s">
        <v>31</v>
      </c>
      <c r="D244" t="s">
        <v>35</v>
      </c>
      <c r="E244" t="s">
        <v>25</v>
      </c>
      <c r="F244" t="s">
        <v>26</v>
      </c>
      <c r="G244">
        <v>591</v>
      </c>
      <c r="H244">
        <v>4120</v>
      </c>
      <c r="I244">
        <v>11154.046259999999</v>
      </c>
      <c r="J244" t="b">
        <v>1</v>
      </c>
      <c r="K244">
        <v>13</v>
      </c>
      <c r="L244" t="b">
        <v>0</v>
      </c>
      <c r="M244">
        <v>15928.034509999999</v>
      </c>
      <c r="N244">
        <v>3768.5</v>
      </c>
      <c r="O244">
        <v>6665</v>
      </c>
      <c r="P244" t="s">
        <v>27</v>
      </c>
      <c r="Q244">
        <v>0.15682632347087699</v>
      </c>
      <c r="R244" t="s">
        <v>28</v>
      </c>
      <c r="S244">
        <v>18.87317472081218</v>
      </c>
      <c r="T244">
        <v>0.56541635408852209</v>
      </c>
      <c r="U244" t="s">
        <v>29</v>
      </c>
      <c r="V244">
        <v>0</v>
      </c>
    </row>
    <row r="245" spans="1:22" x14ac:dyDescent="0.3">
      <c r="A245" s="1">
        <v>44700</v>
      </c>
      <c r="B245" t="s">
        <v>42</v>
      </c>
      <c r="C245" t="s">
        <v>23</v>
      </c>
      <c r="D245" t="s">
        <v>46</v>
      </c>
      <c r="E245" t="s">
        <v>25</v>
      </c>
      <c r="F245" t="s">
        <v>43</v>
      </c>
      <c r="G245">
        <v>406</v>
      </c>
      <c r="H245">
        <v>3417</v>
      </c>
      <c r="I245">
        <v>3122.6806040000001</v>
      </c>
      <c r="J245" t="b">
        <v>1</v>
      </c>
      <c r="K245">
        <v>23</v>
      </c>
      <c r="L245" t="b">
        <v>0</v>
      </c>
      <c r="M245">
        <v>80607.575750000004</v>
      </c>
      <c r="N245">
        <v>3721.5</v>
      </c>
      <c r="O245">
        <v>5676</v>
      </c>
      <c r="P245" t="s">
        <v>36</v>
      </c>
      <c r="Q245">
        <v>0.10909579470643557</v>
      </c>
      <c r="R245" t="s">
        <v>37</v>
      </c>
      <c r="S245">
        <v>7.6913315369458131</v>
      </c>
      <c r="T245">
        <v>0.65565539112050741</v>
      </c>
      <c r="U245" t="s">
        <v>29</v>
      </c>
      <c r="V245">
        <v>0</v>
      </c>
    </row>
    <row r="246" spans="1:22" x14ac:dyDescent="0.3">
      <c r="A246" s="1">
        <v>44701</v>
      </c>
      <c r="B246" t="s">
        <v>30</v>
      </c>
      <c r="C246" t="s">
        <v>23</v>
      </c>
      <c r="D246" t="s">
        <v>35</v>
      </c>
      <c r="E246" t="s">
        <v>33</v>
      </c>
      <c r="F246" t="s">
        <v>26</v>
      </c>
      <c r="G246">
        <v>815</v>
      </c>
      <c r="H246">
        <v>4026</v>
      </c>
      <c r="I246">
        <v>7646.9961409999996</v>
      </c>
      <c r="J246" t="b">
        <v>1</v>
      </c>
      <c r="K246">
        <v>10</v>
      </c>
      <c r="L246" t="b">
        <v>0</v>
      </c>
      <c r="M246">
        <v>61566.705199999997</v>
      </c>
      <c r="N246">
        <v>4030</v>
      </c>
      <c r="O246">
        <v>5701</v>
      </c>
      <c r="P246" t="s">
        <v>36</v>
      </c>
      <c r="Q246">
        <v>0.20223325062034739</v>
      </c>
      <c r="R246" t="s">
        <v>28</v>
      </c>
      <c r="S246">
        <v>9.382817350920245</v>
      </c>
      <c r="T246">
        <v>0.70689352745132428</v>
      </c>
      <c r="U246" t="s">
        <v>29</v>
      </c>
      <c r="V246">
        <v>0</v>
      </c>
    </row>
    <row r="247" spans="1:22" x14ac:dyDescent="0.3">
      <c r="A247" s="1">
        <v>44702</v>
      </c>
      <c r="B247" t="s">
        <v>30</v>
      </c>
      <c r="C247" t="s">
        <v>23</v>
      </c>
      <c r="D247" t="s">
        <v>24</v>
      </c>
      <c r="E247" t="s">
        <v>45</v>
      </c>
      <c r="F247" t="s">
        <v>26</v>
      </c>
      <c r="G247">
        <v>656</v>
      </c>
      <c r="H247">
        <v>4034</v>
      </c>
      <c r="I247">
        <v>11873.882149999999</v>
      </c>
      <c r="J247" t="b">
        <v>1</v>
      </c>
      <c r="K247">
        <v>22</v>
      </c>
      <c r="L247" t="b">
        <v>0</v>
      </c>
      <c r="M247">
        <v>113100.9326</v>
      </c>
      <c r="N247">
        <v>2990.5</v>
      </c>
      <c r="O247">
        <v>6229</v>
      </c>
      <c r="P247" t="s">
        <v>27</v>
      </c>
      <c r="Q247">
        <v>0.21936131081758903</v>
      </c>
      <c r="R247" t="s">
        <v>37</v>
      </c>
      <c r="S247">
        <v>18.100430106707318</v>
      </c>
      <c r="T247">
        <v>0.48009311285920692</v>
      </c>
      <c r="U247" t="s">
        <v>29</v>
      </c>
      <c r="V247">
        <v>0</v>
      </c>
    </row>
    <row r="248" spans="1:22" x14ac:dyDescent="0.3">
      <c r="A248" s="1">
        <v>44703</v>
      </c>
      <c r="B248" t="s">
        <v>42</v>
      </c>
      <c r="C248" t="s">
        <v>41</v>
      </c>
      <c r="D248" t="s">
        <v>35</v>
      </c>
      <c r="E248" t="s">
        <v>25</v>
      </c>
      <c r="F248" t="s">
        <v>26</v>
      </c>
      <c r="G248">
        <v>963</v>
      </c>
      <c r="H248">
        <v>1947</v>
      </c>
      <c r="I248">
        <v>6115.0676990000002</v>
      </c>
      <c r="J248" t="b">
        <v>1</v>
      </c>
      <c r="K248">
        <v>21</v>
      </c>
      <c r="L248" t="b">
        <v>1</v>
      </c>
      <c r="M248">
        <v>58452.034220000001</v>
      </c>
      <c r="N248">
        <v>1690.5</v>
      </c>
      <c r="O248">
        <v>8292</v>
      </c>
      <c r="P248" t="s">
        <v>27</v>
      </c>
      <c r="Q248">
        <v>0.56965394853593609</v>
      </c>
      <c r="R248" t="s">
        <v>37</v>
      </c>
      <c r="S248">
        <v>6.3500183790238838</v>
      </c>
      <c r="T248">
        <v>0.2038712011577424</v>
      </c>
      <c r="U248" t="s">
        <v>34</v>
      </c>
      <c r="V248">
        <v>1</v>
      </c>
    </row>
    <row r="249" spans="1:22" x14ac:dyDescent="0.3">
      <c r="A249" s="1">
        <v>44704</v>
      </c>
      <c r="B249" t="s">
        <v>22</v>
      </c>
      <c r="C249" t="s">
        <v>41</v>
      </c>
      <c r="D249" t="s">
        <v>24</v>
      </c>
      <c r="E249" t="s">
        <v>33</v>
      </c>
      <c r="F249" t="s">
        <v>43</v>
      </c>
      <c r="G249">
        <v>150</v>
      </c>
      <c r="H249">
        <v>1434</v>
      </c>
      <c r="I249">
        <v>11086.887720000001</v>
      </c>
      <c r="J249" t="b">
        <v>1</v>
      </c>
      <c r="K249">
        <v>5</v>
      </c>
      <c r="L249" t="b">
        <v>1</v>
      </c>
      <c r="M249">
        <v>13468.079900000001</v>
      </c>
      <c r="N249">
        <v>1060.5</v>
      </c>
      <c r="O249">
        <v>6566</v>
      </c>
      <c r="P249" t="s">
        <v>27</v>
      </c>
      <c r="Q249">
        <v>0.14144271570014144</v>
      </c>
      <c r="R249" t="s">
        <v>40</v>
      </c>
      <c r="S249">
        <v>73.912584800000005</v>
      </c>
      <c r="T249">
        <v>0.1615138592750533</v>
      </c>
      <c r="U249" t="s">
        <v>34</v>
      </c>
      <c r="V249">
        <v>1</v>
      </c>
    </row>
    <row r="250" spans="1:22" x14ac:dyDescent="0.3">
      <c r="A250" s="1">
        <v>44705</v>
      </c>
      <c r="B250" t="s">
        <v>42</v>
      </c>
      <c r="C250" t="s">
        <v>31</v>
      </c>
      <c r="D250" t="s">
        <v>46</v>
      </c>
      <c r="E250" t="s">
        <v>33</v>
      </c>
      <c r="F250" t="s">
        <v>26</v>
      </c>
      <c r="G250">
        <v>68</v>
      </c>
      <c r="H250">
        <v>687</v>
      </c>
      <c r="I250">
        <v>1992.123781</v>
      </c>
      <c r="J250" t="b">
        <v>1</v>
      </c>
      <c r="K250">
        <v>16</v>
      </c>
      <c r="L250" t="b">
        <v>0</v>
      </c>
      <c r="M250">
        <v>2633.1124399999999</v>
      </c>
      <c r="N250">
        <v>770</v>
      </c>
      <c r="O250">
        <v>5624</v>
      </c>
      <c r="P250" t="s">
        <v>36</v>
      </c>
      <c r="Q250">
        <v>8.8311688311688313E-2</v>
      </c>
      <c r="R250" t="s">
        <v>37</v>
      </c>
      <c r="S250">
        <v>29.295937955882351</v>
      </c>
      <c r="T250">
        <v>0.13691322901849218</v>
      </c>
      <c r="U250" t="s">
        <v>34</v>
      </c>
      <c r="V250">
        <v>0</v>
      </c>
    </row>
    <row r="251" spans="1:22" x14ac:dyDescent="0.3">
      <c r="A251" s="1">
        <v>44706</v>
      </c>
      <c r="B251" t="s">
        <v>30</v>
      </c>
      <c r="C251" t="s">
        <v>41</v>
      </c>
      <c r="D251" t="s">
        <v>32</v>
      </c>
      <c r="E251" t="s">
        <v>45</v>
      </c>
      <c r="F251" t="s">
        <v>26</v>
      </c>
      <c r="G251">
        <v>647</v>
      </c>
      <c r="H251">
        <v>853</v>
      </c>
      <c r="I251">
        <v>9007.8477249999996</v>
      </c>
      <c r="J251" t="b">
        <v>1</v>
      </c>
      <c r="K251">
        <v>24</v>
      </c>
      <c r="L251" t="b">
        <v>0</v>
      </c>
      <c r="M251">
        <v>120622.83809999999</v>
      </c>
      <c r="N251">
        <v>2008.5</v>
      </c>
      <c r="O251">
        <v>5738</v>
      </c>
      <c r="P251" t="s">
        <v>36</v>
      </c>
      <c r="Q251">
        <v>0.3221309434901668</v>
      </c>
      <c r="R251" t="s">
        <v>37</v>
      </c>
      <c r="S251">
        <v>13.922484891808345</v>
      </c>
      <c r="T251">
        <v>0.35003485535029627</v>
      </c>
      <c r="U251" t="s">
        <v>34</v>
      </c>
      <c r="V251">
        <v>0</v>
      </c>
    </row>
    <row r="252" spans="1:22" x14ac:dyDescent="0.3">
      <c r="A252" s="1">
        <v>44707</v>
      </c>
      <c r="B252" t="s">
        <v>22</v>
      </c>
      <c r="C252" t="s">
        <v>31</v>
      </c>
      <c r="D252" t="s">
        <v>35</v>
      </c>
      <c r="E252" t="s">
        <v>45</v>
      </c>
      <c r="F252" t="s">
        <v>26</v>
      </c>
      <c r="G252">
        <v>713</v>
      </c>
      <c r="H252">
        <v>3164</v>
      </c>
      <c r="I252">
        <v>5377.0130369999997</v>
      </c>
      <c r="J252" t="b">
        <v>1</v>
      </c>
      <c r="K252">
        <v>29</v>
      </c>
      <c r="L252" t="b">
        <v>1</v>
      </c>
      <c r="M252">
        <v>32620.407950000001</v>
      </c>
      <c r="N252">
        <v>1985</v>
      </c>
      <c r="O252">
        <v>5810</v>
      </c>
      <c r="P252" t="s">
        <v>27</v>
      </c>
      <c r="Q252">
        <v>0.35919395465994963</v>
      </c>
      <c r="R252" t="s">
        <v>37</v>
      </c>
      <c r="S252">
        <v>7.5413927587657783</v>
      </c>
      <c r="T252">
        <v>0.34165232358003444</v>
      </c>
      <c r="U252" t="s">
        <v>34</v>
      </c>
      <c r="V252">
        <v>1</v>
      </c>
    </row>
    <row r="253" spans="1:22" x14ac:dyDescent="0.3">
      <c r="A253" s="1">
        <v>44708</v>
      </c>
      <c r="B253" t="s">
        <v>38</v>
      </c>
      <c r="C253" t="s">
        <v>44</v>
      </c>
      <c r="D253" t="s">
        <v>32</v>
      </c>
      <c r="E253" t="s">
        <v>45</v>
      </c>
      <c r="F253" t="s">
        <v>26</v>
      </c>
      <c r="G253">
        <v>761</v>
      </c>
      <c r="H253">
        <v>806</v>
      </c>
      <c r="I253">
        <v>2490.89894</v>
      </c>
      <c r="J253" t="b">
        <v>1</v>
      </c>
      <c r="K253">
        <v>27</v>
      </c>
      <c r="L253" t="b">
        <v>0</v>
      </c>
      <c r="M253">
        <v>63557.139470000002</v>
      </c>
      <c r="N253">
        <v>2198.5</v>
      </c>
      <c r="O253">
        <v>9043</v>
      </c>
      <c r="P253" t="s">
        <v>36</v>
      </c>
      <c r="Q253">
        <v>0.34614509893108936</v>
      </c>
      <c r="R253" t="s">
        <v>37</v>
      </c>
      <c r="S253">
        <v>3.273191773981603</v>
      </c>
      <c r="T253">
        <v>0.24311622249253567</v>
      </c>
      <c r="U253" t="s">
        <v>34</v>
      </c>
      <c r="V253">
        <v>0</v>
      </c>
    </row>
    <row r="254" spans="1:22" x14ac:dyDescent="0.3">
      <c r="A254" s="1">
        <v>44709</v>
      </c>
      <c r="B254" t="s">
        <v>42</v>
      </c>
      <c r="C254" t="s">
        <v>41</v>
      </c>
      <c r="D254" t="s">
        <v>35</v>
      </c>
      <c r="E254" t="s">
        <v>45</v>
      </c>
      <c r="F254" t="s">
        <v>26</v>
      </c>
      <c r="G254">
        <v>93</v>
      </c>
      <c r="H254">
        <v>3591</v>
      </c>
      <c r="I254">
        <v>13367.90452</v>
      </c>
      <c r="J254" t="b">
        <v>1</v>
      </c>
      <c r="K254">
        <v>8</v>
      </c>
      <c r="L254" t="b">
        <v>0</v>
      </c>
      <c r="M254">
        <v>2108.9066309999998</v>
      </c>
      <c r="N254">
        <v>4132</v>
      </c>
      <c r="O254">
        <v>6217</v>
      </c>
      <c r="P254" t="s">
        <v>36</v>
      </c>
      <c r="Q254">
        <v>2.2507260406582769E-2</v>
      </c>
      <c r="R254" t="s">
        <v>28</v>
      </c>
      <c r="S254">
        <v>143.74090881720431</v>
      </c>
      <c r="T254">
        <v>0.66462924239987131</v>
      </c>
      <c r="U254" t="s">
        <v>29</v>
      </c>
      <c r="V254">
        <v>0</v>
      </c>
    </row>
    <row r="255" spans="1:22" x14ac:dyDescent="0.3">
      <c r="A255" s="1">
        <v>44710</v>
      </c>
      <c r="B255" t="s">
        <v>22</v>
      </c>
      <c r="C255" t="s">
        <v>41</v>
      </c>
      <c r="D255" t="s">
        <v>46</v>
      </c>
      <c r="E255" t="s">
        <v>25</v>
      </c>
      <c r="F255" t="s">
        <v>26</v>
      </c>
      <c r="G255">
        <v>631</v>
      </c>
      <c r="H255">
        <v>4673</v>
      </c>
      <c r="I255">
        <v>4406.5593950000002</v>
      </c>
      <c r="J255" t="b">
        <v>1</v>
      </c>
      <c r="K255">
        <v>6</v>
      </c>
      <c r="L255" t="b">
        <v>0</v>
      </c>
      <c r="M255">
        <v>80517.650680000006</v>
      </c>
      <c r="N255">
        <v>4105.5</v>
      </c>
      <c r="O255">
        <v>6263</v>
      </c>
      <c r="P255" t="s">
        <v>27</v>
      </c>
      <c r="Q255">
        <v>0.15369626111314091</v>
      </c>
      <c r="R255" t="s">
        <v>40</v>
      </c>
      <c r="S255">
        <v>6.9834538748019019</v>
      </c>
      <c r="T255">
        <v>0.65551652562669649</v>
      </c>
      <c r="U255" t="s">
        <v>29</v>
      </c>
      <c r="V255">
        <v>0</v>
      </c>
    </row>
    <row r="256" spans="1:22" x14ac:dyDescent="0.3">
      <c r="A256" s="1">
        <v>44711</v>
      </c>
      <c r="B256" t="s">
        <v>30</v>
      </c>
      <c r="C256" t="s">
        <v>23</v>
      </c>
      <c r="D256" t="s">
        <v>46</v>
      </c>
      <c r="E256" t="s">
        <v>33</v>
      </c>
      <c r="F256" t="s">
        <v>26</v>
      </c>
      <c r="G256">
        <v>439</v>
      </c>
      <c r="H256">
        <v>3538</v>
      </c>
      <c r="I256">
        <v>12061.383680000001</v>
      </c>
      <c r="J256" t="b">
        <v>0</v>
      </c>
      <c r="K256">
        <v>4</v>
      </c>
      <c r="L256" t="b">
        <v>0</v>
      </c>
      <c r="M256">
        <v>83905.321500000005</v>
      </c>
      <c r="N256">
        <v>3394.5</v>
      </c>
      <c r="O256">
        <v>8216</v>
      </c>
      <c r="P256" t="s">
        <v>27</v>
      </c>
      <c r="Q256">
        <v>0.12932685226101046</v>
      </c>
      <c r="R256" t="s">
        <v>40</v>
      </c>
      <c r="S256">
        <v>27.474678086560367</v>
      </c>
      <c r="T256">
        <v>0.41315725413826682</v>
      </c>
      <c r="U256" t="s">
        <v>29</v>
      </c>
      <c r="V256">
        <v>0</v>
      </c>
    </row>
    <row r="257" spans="1:22" x14ac:dyDescent="0.3">
      <c r="A257" s="1">
        <v>44712</v>
      </c>
      <c r="B257" t="s">
        <v>22</v>
      </c>
      <c r="C257" t="s">
        <v>41</v>
      </c>
      <c r="D257" t="s">
        <v>46</v>
      </c>
      <c r="E257" t="s">
        <v>25</v>
      </c>
      <c r="F257" t="s">
        <v>26</v>
      </c>
      <c r="G257">
        <v>798</v>
      </c>
      <c r="H257">
        <v>3251</v>
      </c>
      <c r="I257">
        <v>11161.14264</v>
      </c>
      <c r="J257" t="b">
        <v>0</v>
      </c>
      <c r="K257">
        <v>27</v>
      </c>
      <c r="L257" t="b">
        <v>1</v>
      </c>
      <c r="M257">
        <v>97473.671480000005</v>
      </c>
      <c r="N257">
        <v>4067.5</v>
      </c>
      <c r="O257">
        <v>9768</v>
      </c>
      <c r="P257" t="s">
        <v>36</v>
      </c>
      <c r="Q257">
        <v>0.19618930547019053</v>
      </c>
      <c r="R257" t="s">
        <v>37</v>
      </c>
      <c r="S257">
        <v>13.986394285714285</v>
      </c>
      <c r="T257">
        <v>0.41641072891072889</v>
      </c>
      <c r="U257" t="s">
        <v>29</v>
      </c>
      <c r="V257">
        <v>1</v>
      </c>
    </row>
    <row r="258" spans="1:22" x14ac:dyDescent="0.3">
      <c r="A258" s="1">
        <v>44713</v>
      </c>
      <c r="B258" t="s">
        <v>22</v>
      </c>
      <c r="C258" t="s">
        <v>41</v>
      </c>
      <c r="D258" t="s">
        <v>46</v>
      </c>
      <c r="E258" t="s">
        <v>33</v>
      </c>
      <c r="F258" t="s">
        <v>26</v>
      </c>
      <c r="G258">
        <v>139</v>
      </c>
      <c r="H258">
        <v>4884</v>
      </c>
      <c r="I258">
        <v>11736.46285</v>
      </c>
      <c r="J258" t="b">
        <v>1</v>
      </c>
      <c r="K258">
        <v>16</v>
      </c>
      <c r="L258" t="b">
        <v>0</v>
      </c>
      <c r="M258">
        <v>20426.19627</v>
      </c>
      <c r="N258">
        <v>4391.5</v>
      </c>
      <c r="O258">
        <v>7425</v>
      </c>
      <c r="P258" t="s">
        <v>27</v>
      </c>
      <c r="Q258">
        <v>3.1652055106455655E-2</v>
      </c>
      <c r="R258" t="s">
        <v>37</v>
      </c>
      <c r="S258">
        <v>84.434984532374102</v>
      </c>
      <c r="T258">
        <v>0.59144781144781144</v>
      </c>
      <c r="U258" t="s">
        <v>29</v>
      </c>
      <c r="V258">
        <v>0</v>
      </c>
    </row>
    <row r="259" spans="1:22" x14ac:dyDescent="0.3">
      <c r="A259" s="1">
        <v>44714</v>
      </c>
      <c r="B259" t="s">
        <v>42</v>
      </c>
      <c r="C259" t="s">
        <v>44</v>
      </c>
      <c r="D259" t="s">
        <v>32</v>
      </c>
      <c r="E259" t="s">
        <v>25</v>
      </c>
      <c r="F259" t="s">
        <v>26</v>
      </c>
      <c r="G259">
        <v>648</v>
      </c>
      <c r="H259">
        <v>3899</v>
      </c>
      <c r="I259">
        <v>13345.87066</v>
      </c>
      <c r="J259" t="b">
        <v>1</v>
      </c>
      <c r="K259">
        <v>9</v>
      </c>
      <c r="L259" t="b">
        <v>0</v>
      </c>
      <c r="M259">
        <v>63946.175289999999</v>
      </c>
      <c r="N259">
        <v>4010.5</v>
      </c>
      <c r="O259">
        <v>5152</v>
      </c>
      <c r="P259" t="s">
        <v>36</v>
      </c>
      <c r="Q259">
        <v>0.16157586335868346</v>
      </c>
      <c r="R259" t="s">
        <v>28</v>
      </c>
      <c r="S259">
        <v>20.595479413580247</v>
      </c>
      <c r="T259">
        <v>0.7784355590062112</v>
      </c>
      <c r="U259" t="s">
        <v>29</v>
      </c>
      <c r="V259">
        <v>0</v>
      </c>
    </row>
    <row r="260" spans="1:22" x14ac:dyDescent="0.3">
      <c r="A260" s="1">
        <v>44715</v>
      </c>
      <c r="B260" t="s">
        <v>22</v>
      </c>
      <c r="C260" t="s">
        <v>44</v>
      </c>
      <c r="D260" t="s">
        <v>46</v>
      </c>
      <c r="E260" t="s">
        <v>25</v>
      </c>
      <c r="F260" t="s">
        <v>43</v>
      </c>
      <c r="G260">
        <v>907</v>
      </c>
      <c r="H260">
        <v>4122</v>
      </c>
      <c r="I260">
        <v>5009.6015530000004</v>
      </c>
      <c r="J260" t="b">
        <v>1</v>
      </c>
      <c r="K260">
        <v>19</v>
      </c>
      <c r="L260" t="b">
        <v>0</v>
      </c>
      <c r="M260">
        <v>140350.6759</v>
      </c>
      <c r="N260">
        <v>2648</v>
      </c>
      <c r="O260">
        <v>8546</v>
      </c>
      <c r="P260" t="s">
        <v>27</v>
      </c>
      <c r="Q260">
        <v>0.34252265861027192</v>
      </c>
      <c r="R260" t="s">
        <v>37</v>
      </c>
      <c r="S260">
        <v>5.5232652183020949</v>
      </c>
      <c r="T260">
        <v>0.30985256260238708</v>
      </c>
      <c r="U260" t="s">
        <v>34</v>
      </c>
      <c r="V260">
        <v>0</v>
      </c>
    </row>
    <row r="261" spans="1:22" x14ac:dyDescent="0.3">
      <c r="A261" s="1">
        <v>44716</v>
      </c>
      <c r="B261" t="s">
        <v>42</v>
      </c>
      <c r="C261" t="s">
        <v>23</v>
      </c>
      <c r="D261" t="s">
        <v>35</v>
      </c>
      <c r="E261" t="s">
        <v>25</v>
      </c>
      <c r="F261" t="s">
        <v>26</v>
      </c>
      <c r="G261">
        <v>491</v>
      </c>
      <c r="H261">
        <v>1174</v>
      </c>
      <c r="I261">
        <v>2321.426391</v>
      </c>
      <c r="J261" t="b">
        <v>1</v>
      </c>
      <c r="K261">
        <v>4</v>
      </c>
      <c r="L261" t="b">
        <v>0</v>
      </c>
      <c r="M261">
        <v>29506.496910000002</v>
      </c>
      <c r="N261">
        <v>1940.5</v>
      </c>
      <c r="O261">
        <v>9278</v>
      </c>
      <c r="P261" t="s">
        <v>36</v>
      </c>
      <c r="Q261">
        <v>0.25302757021386241</v>
      </c>
      <c r="R261" t="s">
        <v>40</v>
      </c>
      <c r="S261">
        <v>4.7279559898167003</v>
      </c>
      <c r="T261">
        <v>0.20915067902565207</v>
      </c>
      <c r="U261" t="s">
        <v>34</v>
      </c>
      <c r="V261">
        <v>0</v>
      </c>
    </row>
    <row r="262" spans="1:22" x14ac:dyDescent="0.3">
      <c r="A262" s="1">
        <v>44717</v>
      </c>
      <c r="B262" t="s">
        <v>38</v>
      </c>
      <c r="C262" t="s">
        <v>44</v>
      </c>
      <c r="D262" t="s">
        <v>24</v>
      </c>
      <c r="E262" t="s">
        <v>25</v>
      </c>
      <c r="F262" t="s">
        <v>26</v>
      </c>
      <c r="G262">
        <v>432</v>
      </c>
      <c r="H262">
        <v>2707</v>
      </c>
      <c r="I262">
        <v>3248.0261270000001</v>
      </c>
      <c r="J262" t="b">
        <v>1</v>
      </c>
      <c r="K262">
        <v>19</v>
      </c>
      <c r="L262" t="b">
        <v>0</v>
      </c>
      <c r="M262">
        <v>14359.285250000001</v>
      </c>
      <c r="N262">
        <v>3122.5</v>
      </c>
      <c r="O262">
        <v>6950</v>
      </c>
      <c r="P262" t="s">
        <v>36</v>
      </c>
      <c r="Q262">
        <v>0.13835068054443556</v>
      </c>
      <c r="R262" t="s">
        <v>37</v>
      </c>
      <c r="S262">
        <v>7.5185789976851858</v>
      </c>
      <c r="T262">
        <v>0.44928057553956835</v>
      </c>
      <c r="U262" t="s">
        <v>29</v>
      </c>
      <c r="V262">
        <v>0</v>
      </c>
    </row>
    <row r="263" spans="1:22" x14ac:dyDescent="0.3">
      <c r="A263" s="1">
        <v>44718</v>
      </c>
      <c r="B263" t="s">
        <v>38</v>
      </c>
      <c r="C263" t="s">
        <v>44</v>
      </c>
      <c r="D263" t="s">
        <v>46</v>
      </c>
      <c r="E263" t="s">
        <v>25</v>
      </c>
      <c r="F263" t="s">
        <v>26</v>
      </c>
      <c r="G263">
        <v>306</v>
      </c>
      <c r="H263">
        <v>3538</v>
      </c>
      <c r="I263">
        <v>3475.6912659999998</v>
      </c>
      <c r="J263" t="b">
        <v>1</v>
      </c>
      <c r="K263">
        <v>19</v>
      </c>
      <c r="L263" t="b">
        <v>0</v>
      </c>
      <c r="M263">
        <v>46202.240270000002</v>
      </c>
      <c r="N263">
        <v>2282</v>
      </c>
      <c r="O263">
        <v>6446</v>
      </c>
      <c r="P263" t="s">
        <v>27</v>
      </c>
      <c r="Q263">
        <v>0.13409290096406662</v>
      </c>
      <c r="R263" t="s">
        <v>37</v>
      </c>
      <c r="S263">
        <v>11.358468189542483</v>
      </c>
      <c r="T263">
        <v>0.35401799565622089</v>
      </c>
      <c r="U263" t="s">
        <v>34</v>
      </c>
      <c r="V263">
        <v>0</v>
      </c>
    </row>
    <row r="264" spans="1:22" x14ac:dyDescent="0.3">
      <c r="A264" s="1">
        <v>44719</v>
      </c>
      <c r="B264" t="s">
        <v>22</v>
      </c>
      <c r="C264" t="s">
        <v>23</v>
      </c>
      <c r="D264" t="s">
        <v>46</v>
      </c>
      <c r="E264" t="s">
        <v>33</v>
      </c>
      <c r="F264" t="s">
        <v>26</v>
      </c>
      <c r="G264">
        <v>302</v>
      </c>
      <c r="H264">
        <v>1026</v>
      </c>
      <c r="I264">
        <v>3520.0262899999998</v>
      </c>
      <c r="J264" t="b">
        <v>1</v>
      </c>
      <c r="K264">
        <v>24</v>
      </c>
      <c r="L264" t="b">
        <v>0</v>
      </c>
      <c r="M264">
        <v>19978.293119999998</v>
      </c>
      <c r="N264">
        <v>2218</v>
      </c>
      <c r="O264">
        <v>6862</v>
      </c>
      <c r="P264" t="s">
        <v>36</v>
      </c>
      <c r="Q264">
        <v>0.13615870153291254</v>
      </c>
      <c r="R264" t="s">
        <v>37</v>
      </c>
      <c r="S264">
        <v>11.65571619205298</v>
      </c>
      <c r="T264">
        <v>0.3232293791897406</v>
      </c>
      <c r="U264" t="s">
        <v>34</v>
      </c>
      <c r="V264">
        <v>0</v>
      </c>
    </row>
    <row r="265" spans="1:22" x14ac:dyDescent="0.3">
      <c r="A265" s="1">
        <v>44720</v>
      </c>
      <c r="B265" t="s">
        <v>38</v>
      </c>
      <c r="C265" t="s">
        <v>44</v>
      </c>
      <c r="D265" t="s">
        <v>46</v>
      </c>
      <c r="E265" t="s">
        <v>25</v>
      </c>
      <c r="F265" t="s">
        <v>26</v>
      </c>
      <c r="G265">
        <v>504</v>
      </c>
      <c r="H265">
        <v>3410</v>
      </c>
      <c r="I265">
        <v>11347.53218</v>
      </c>
      <c r="J265" t="b">
        <v>1</v>
      </c>
      <c r="K265">
        <v>6</v>
      </c>
      <c r="L265" t="b">
        <v>0</v>
      </c>
      <c r="M265">
        <v>51972.514289999999</v>
      </c>
      <c r="N265">
        <v>2250</v>
      </c>
      <c r="O265">
        <v>5439</v>
      </c>
      <c r="P265" t="s">
        <v>27</v>
      </c>
      <c r="Q265">
        <v>0.224</v>
      </c>
      <c r="R265" t="s">
        <v>40</v>
      </c>
      <c r="S265">
        <v>22.514944801587301</v>
      </c>
      <c r="T265">
        <v>0.41367898510755652</v>
      </c>
      <c r="U265" t="s">
        <v>29</v>
      </c>
      <c r="V265">
        <v>0</v>
      </c>
    </row>
    <row r="266" spans="1:22" x14ac:dyDescent="0.3">
      <c r="A266" s="1">
        <v>44721</v>
      </c>
      <c r="B266" t="s">
        <v>22</v>
      </c>
      <c r="C266" t="s">
        <v>41</v>
      </c>
      <c r="D266" t="s">
        <v>24</v>
      </c>
      <c r="E266" t="s">
        <v>25</v>
      </c>
      <c r="F266" t="s">
        <v>43</v>
      </c>
      <c r="G266">
        <v>304</v>
      </c>
      <c r="H266">
        <v>1090</v>
      </c>
      <c r="I266">
        <v>4839.1020790000002</v>
      </c>
      <c r="J266" t="b">
        <v>1</v>
      </c>
      <c r="K266">
        <v>13</v>
      </c>
      <c r="L266" t="b">
        <v>0</v>
      </c>
      <c r="M266">
        <v>28705.257010000001</v>
      </c>
      <c r="N266">
        <v>1809.5</v>
      </c>
      <c r="O266">
        <v>9714</v>
      </c>
      <c r="P266" t="s">
        <v>36</v>
      </c>
      <c r="Q266">
        <v>0.16800221055540204</v>
      </c>
      <c r="R266" t="s">
        <v>28</v>
      </c>
      <c r="S266">
        <v>15.918098944078949</v>
      </c>
      <c r="T266">
        <v>0.18627753757463456</v>
      </c>
      <c r="U266" t="s">
        <v>34</v>
      </c>
      <c r="V266">
        <v>0</v>
      </c>
    </row>
    <row r="267" spans="1:22" x14ac:dyDescent="0.3">
      <c r="A267" s="1">
        <v>44722</v>
      </c>
      <c r="B267" t="s">
        <v>42</v>
      </c>
      <c r="C267" t="s">
        <v>31</v>
      </c>
      <c r="D267" t="s">
        <v>35</v>
      </c>
      <c r="E267" t="s">
        <v>33</v>
      </c>
      <c r="F267" t="s">
        <v>26</v>
      </c>
      <c r="G267">
        <v>742</v>
      </c>
      <c r="H267">
        <v>2529</v>
      </c>
      <c r="I267">
        <v>6499.127015</v>
      </c>
      <c r="J267" t="b">
        <v>1</v>
      </c>
      <c r="K267">
        <v>7</v>
      </c>
      <c r="L267" t="b">
        <v>0</v>
      </c>
      <c r="M267">
        <v>24156.74656</v>
      </c>
      <c r="N267">
        <v>1437.5</v>
      </c>
      <c r="O267">
        <v>9970</v>
      </c>
      <c r="P267" t="s">
        <v>27</v>
      </c>
      <c r="Q267">
        <v>0.51617391304347826</v>
      </c>
      <c r="R267" t="s">
        <v>40</v>
      </c>
      <c r="S267">
        <v>8.7589312870619942</v>
      </c>
      <c r="T267">
        <v>0.14418254764292879</v>
      </c>
      <c r="U267" t="s">
        <v>34</v>
      </c>
      <c r="V267">
        <v>0</v>
      </c>
    </row>
    <row r="268" spans="1:22" x14ac:dyDescent="0.3">
      <c r="A268" s="1">
        <v>44723</v>
      </c>
      <c r="B268" t="s">
        <v>22</v>
      </c>
      <c r="C268" t="s">
        <v>41</v>
      </c>
      <c r="D268" t="s">
        <v>32</v>
      </c>
      <c r="E268" t="s">
        <v>45</v>
      </c>
      <c r="F268" t="s">
        <v>26</v>
      </c>
      <c r="G268">
        <v>139</v>
      </c>
      <c r="H268">
        <v>346</v>
      </c>
      <c r="I268">
        <v>842.08353279999994</v>
      </c>
      <c r="J268" t="b">
        <v>1</v>
      </c>
      <c r="K268">
        <v>14</v>
      </c>
      <c r="L268" t="b">
        <v>0</v>
      </c>
      <c r="M268">
        <v>9261.1610369999999</v>
      </c>
      <c r="N268">
        <v>2130.5</v>
      </c>
      <c r="O268">
        <v>7986</v>
      </c>
      <c r="P268" t="s">
        <v>36</v>
      </c>
      <c r="Q268">
        <v>6.5242900727528752E-2</v>
      </c>
      <c r="R268" t="s">
        <v>28</v>
      </c>
      <c r="S268">
        <v>6.0581549122302158</v>
      </c>
      <c r="T268">
        <v>0.2667793638868019</v>
      </c>
      <c r="U268" t="s">
        <v>34</v>
      </c>
      <c r="V268">
        <v>0</v>
      </c>
    </row>
    <row r="269" spans="1:22" x14ac:dyDescent="0.3">
      <c r="A269" s="1">
        <v>44724</v>
      </c>
      <c r="B269" t="s">
        <v>22</v>
      </c>
      <c r="C269" t="s">
        <v>44</v>
      </c>
      <c r="D269" t="s">
        <v>46</v>
      </c>
      <c r="E269" t="s">
        <v>45</v>
      </c>
      <c r="F269" t="s">
        <v>43</v>
      </c>
      <c r="G269">
        <v>579</v>
      </c>
      <c r="H269">
        <v>3915</v>
      </c>
      <c r="I269">
        <v>8079.2870839999996</v>
      </c>
      <c r="J269" t="b">
        <v>1</v>
      </c>
      <c r="K269">
        <v>19</v>
      </c>
      <c r="L269" t="b">
        <v>0</v>
      </c>
      <c r="M269">
        <v>79478.19958</v>
      </c>
      <c r="N269">
        <v>4291</v>
      </c>
      <c r="O269">
        <v>6174</v>
      </c>
      <c r="P269" t="s">
        <v>36</v>
      </c>
      <c r="Q269">
        <v>0.13493358191563737</v>
      </c>
      <c r="R269" t="s">
        <v>37</v>
      </c>
      <c r="S269">
        <v>13.953863702936095</v>
      </c>
      <c r="T269">
        <v>0.69501133786848068</v>
      </c>
      <c r="U269" t="s">
        <v>29</v>
      </c>
      <c r="V269">
        <v>0</v>
      </c>
    </row>
    <row r="270" spans="1:22" x14ac:dyDescent="0.3">
      <c r="A270" s="1">
        <v>44725</v>
      </c>
      <c r="B270" t="s">
        <v>42</v>
      </c>
      <c r="C270" t="s">
        <v>41</v>
      </c>
      <c r="D270" t="s">
        <v>32</v>
      </c>
      <c r="E270" t="s">
        <v>25</v>
      </c>
      <c r="F270" t="s">
        <v>26</v>
      </c>
      <c r="G270">
        <v>853</v>
      </c>
      <c r="H270">
        <v>4667</v>
      </c>
      <c r="I270">
        <v>10074.86954</v>
      </c>
      <c r="J270" t="b">
        <v>1</v>
      </c>
      <c r="K270">
        <v>12</v>
      </c>
      <c r="L270" t="b">
        <v>0</v>
      </c>
      <c r="M270">
        <v>81959.352079999997</v>
      </c>
      <c r="N270">
        <v>4199.5</v>
      </c>
      <c r="O270">
        <v>8543</v>
      </c>
      <c r="P270" t="s">
        <v>27</v>
      </c>
      <c r="Q270">
        <v>0.20311941897844982</v>
      </c>
      <c r="R270" t="s">
        <v>28</v>
      </c>
      <c r="S270">
        <v>11.811101453692848</v>
      </c>
      <c r="T270">
        <v>0.49157204729017911</v>
      </c>
      <c r="U270" t="s">
        <v>29</v>
      </c>
      <c r="V270">
        <v>0</v>
      </c>
    </row>
    <row r="271" spans="1:22" x14ac:dyDescent="0.3">
      <c r="A271" s="1">
        <v>44726</v>
      </c>
      <c r="B271" t="s">
        <v>30</v>
      </c>
      <c r="C271" t="s">
        <v>41</v>
      </c>
      <c r="D271" t="s">
        <v>24</v>
      </c>
      <c r="E271" t="s">
        <v>25</v>
      </c>
      <c r="F271" t="s">
        <v>26</v>
      </c>
      <c r="G271">
        <v>271</v>
      </c>
      <c r="H271">
        <v>3732</v>
      </c>
      <c r="I271">
        <v>14423.162050000001</v>
      </c>
      <c r="J271" t="b">
        <v>0</v>
      </c>
      <c r="K271">
        <v>25</v>
      </c>
      <c r="L271" t="b">
        <v>0</v>
      </c>
      <c r="M271">
        <v>40157.11879</v>
      </c>
      <c r="N271">
        <v>2364.5</v>
      </c>
      <c r="O271">
        <v>6536</v>
      </c>
      <c r="P271" t="s">
        <v>27</v>
      </c>
      <c r="Q271">
        <v>0.11461196870374286</v>
      </c>
      <c r="R271" t="s">
        <v>37</v>
      </c>
      <c r="S271">
        <v>53.222000184501852</v>
      </c>
      <c r="T271">
        <v>0.361765605875153</v>
      </c>
      <c r="U271" t="s">
        <v>34</v>
      </c>
      <c r="V271">
        <v>0</v>
      </c>
    </row>
    <row r="272" spans="1:22" x14ac:dyDescent="0.3">
      <c r="A272" s="1">
        <v>44727</v>
      </c>
      <c r="B272" t="s">
        <v>22</v>
      </c>
      <c r="C272" t="s">
        <v>23</v>
      </c>
      <c r="D272" t="s">
        <v>32</v>
      </c>
      <c r="E272" t="s">
        <v>25</v>
      </c>
      <c r="F272" t="s">
        <v>26</v>
      </c>
      <c r="G272">
        <v>317</v>
      </c>
      <c r="H272">
        <v>997</v>
      </c>
      <c r="I272">
        <v>8954.4814239999996</v>
      </c>
      <c r="J272" t="b">
        <v>1</v>
      </c>
      <c r="K272">
        <v>13</v>
      </c>
      <c r="L272" t="b">
        <v>0</v>
      </c>
      <c r="M272">
        <v>35581.806620000003</v>
      </c>
      <c r="N272">
        <v>1679.5</v>
      </c>
      <c r="O272">
        <v>9193</v>
      </c>
      <c r="P272" t="s">
        <v>36</v>
      </c>
      <c r="Q272">
        <v>0.18874665078892527</v>
      </c>
      <c r="R272" t="s">
        <v>28</v>
      </c>
      <c r="S272">
        <v>28.247575470031546</v>
      </c>
      <c r="T272">
        <v>0.18269335363863809</v>
      </c>
      <c r="U272" t="s">
        <v>34</v>
      </c>
      <c r="V272">
        <v>0</v>
      </c>
    </row>
    <row r="273" spans="1:22" x14ac:dyDescent="0.3">
      <c r="A273" s="1">
        <v>44728</v>
      </c>
      <c r="B273" t="s">
        <v>38</v>
      </c>
      <c r="C273" t="s">
        <v>31</v>
      </c>
      <c r="D273" t="s">
        <v>46</v>
      </c>
      <c r="E273" t="s">
        <v>25</v>
      </c>
      <c r="F273" t="s">
        <v>26</v>
      </c>
      <c r="G273">
        <v>157</v>
      </c>
      <c r="H273">
        <v>2362</v>
      </c>
      <c r="I273">
        <v>12046.142400000001</v>
      </c>
      <c r="J273" t="b">
        <v>1</v>
      </c>
      <c r="K273">
        <v>28</v>
      </c>
      <c r="L273" t="b">
        <v>0</v>
      </c>
      <c r="M273">
        <v>23776.700140000001</v>
      </c>
      <c r="N273">
        <v>2354</v>
      </c>
      <c r="O273">
        <v>9160</v>
      </c>
      <c r="P273" t="s">
        <v>27</v>
      </c>
      <c r="Q273">
        <v>6.6694987255734917E-2</v>
      </c>
      <c r="R273" t="s">
        <v>37</v>
      </c>
      <c r="S273">
        <v>76.727021656050965</v>
      </c>
      <c r="T273">
        <v>0.25698689956331877</v>
      </c>
      <c r="U273" t="s">
        <v>34</v>
      </c>
      <c r="V273">
        <v>0</v>
      </c>
    </row>
    <row r="274" spans="1:22" x14ac:dyDescent="0.3">
      <c r="A274" s="1">
        <v>44729</v>
      </c>
      <c r="B274" t="s">
        <v>42</v>
      </c>
      <c r="C274" t="s">
        <v>31</v>
      </c>
      <c r="D274" t="s">
        <v>35</v>
      </c>
      <c r="E274" t="s">
        <v>33</v>
      </c>
      <c r="F274" t="s">
        <v>26</v>
      </c>
      <c r="G274">
        <v>115</v>
      </c>
      <c r="H274">
        <v>2346</v>
      </c>
      <c r="I274">
        <v>8457.3079589999998</v>
      </c>
      <c r="J274" t="b">
        <v>1</v>
      </c>
      <c r="K274">
        <v>12</v>
      </c>
      <c r="L274" t="b">
        <v>0</v>
      </c>
      <c r="M274">
        <v>17096.581330000001</v>
      </c>
      <c r="N274">
        <v>1640.5</v>
      </c>
      <c r="O274">
        <v>9881</v>
      </c>
      <c r="P274" t="s">
        <v>27</v>
      </c>
      <c r="Q274">
        <v>7.010057909174032E-2</v>
      </c>
      <c r="R274" t="s">
        <v>28</v>
      </c>
      <c r="S274">
        <v>73.541808339130426</v>
      </c>
      <c r="T274">
        <v>0.16602570590021254</v>
      </c>
      <c r="U274" t="s">
        <v>34</v>
      </c>
      <c r="V274">
        <v>0</v>
      </c>
    </row>
    <row r="275" spans="1:22" x14ac:dyDescent="0.3">
      <c r="A275" s="1">
        <v>44730</v>
      </c>
      <c r="B275" t="s">
        <v>22</v>
      </c>
      <c r="C275" t="s">
        <v>41</v>
      </c>
      <c r="D275" t="s">
        <v>35</v>
      </c>
      <c r="E275" t="s">
        <v>33</v>
      </c>
      <c r="F275" t="s">
        <v>26</v>
      </c>
      <c r="G275">
        <v>252</v>
      </c>
      <c r="H275">
        <v>935</v>
      </c>
      <c r="I275">
        <v>6885.4262339999996</v>
      </c>
      <c r="J275" t="b">
        <v>1</v>
      </c>
      <c r="K275">
        <v>22</v>
      </c>
      <c r="L275" t="b">
        <v>1</v>
      </c>
      <c r="M275">
        <v>42803.4859</v>
      </c>
      <c r="N275">
        <v>733.5</v>
      </c>
      <c r="O275">
        <v>8594</v>
      </c>
      <c r="P275" t="s">
        <v>27</v>
      </c>
      <c r="Q275">
        <v>0.34355828220858897</v>
      </c>
      <c r="R275" t="s">
        <v>37</v>
      </c>
      <c r="S275">
        <v>27.323119976190476</v>
      </c>
      <c r="T275">
        <v>8.5350244356527813E-2</v>
      </c>
      <c r="U275" t="s">
        <v>34</v>
      </c>
      <c r="V275">
        <v>1</v>
      </c>
    </row>
    <row r="276" spans="1:22" x14ac:dyDescent="0.3">
      <c r="A276" s="1">
        <v>44731</v>
      </c>
      <c r="B276" t="s">
        <v>30</v>
      </c>
      <c r="C276" t="s">
        <v>44</v>
      </c>
      <c r="D276" t="s">
        <v>46</v>
      </c>
      <c r="E276" t="s">
        <v>45</v>
      </c>
      <c r="F276" t="s">
        <v>26</v>
      </c>
      <c r="G276">
        <v>327</v>
      </c>
      <c r="H276">
        <v>532</v>
      </c>
      <c r="I276">
        <v>13821.83592</v>
      </c>
      <c r="J276" t="b">
        <v>1</v>
      </c>
      <c r="K276">
        <v>28</v>
      </c>
      <c r="L276" t="b">
        <v>0</v>
      </c>
      <c r="M276">
        <v>49545.289190000003</v>
      </c>
      <c r="N276">
        <v>1917.5</v>
      </c>
      <c r="O276">
        <v>5596</v>
      </c>
      <c r="P276" t="s">
        <v>36</v>
      </c>
      <c r="Q276">
        <v>0.17053455019556715</v>
      </c>
      <c r="R276" t="s">
        <v>37</v>
      </c>
      <c r="S276">
        <v>42.268611376146787</v>
      </c>
      <c r="T276">
        <v>0.34265546819156539</v>
      </c>
      <c r="U276" t="s">
        <v>34</v>
      </c>
      <c r="V276">
        <v>0</v>
      </c>
    </row>
    <row r="277" spans="1:22" x14ac:dyDescent="0.3">
      <c r="A277" s="1">
        <v>44732</v>
      </c>
      <c r="B277" t="s">
        <v>22</v>
      </c>
      <c r="C277" t="s">
        <v>44</v>
      </c>
      <c r="D277" t="s">
        <v>35</v>
      </c>
      <c r="E277" t="s">
        <v>45</v>
      </c>
      <c r="F277" t="s">
        <v>26</v>
      </c>
      <c r="G277">
        <v>719</v>
      </c>
      <c r="H277">
        <v>3303</v>
      </c>
      <c r="I277">
        <v>6932.8633579999996</v>
      </c>
      <c r="J277" t="b">
        <v>1</v>
      </c>
      <c r="K277">
        <v>17</v>
      </c>
      <c r="L277" t="b">
        <v>0</v>
      </c>
      <c r="M277">
        <v>49924.969120000002</v>
      </c>
      <c r="N277">
        <v>2288</v>
      </c>
      <c r="O277">
        <v>8008</v>
      </c>
      <c r="P277" t="s">
        <v>27</v>
      </c>
      <c r="Q277">
        <v>0.31424825174825177</v>
      </c>
      <c r="R277" t="s">
        <v>37</v>
      </c>
      <c r="S277">
        <v>9.6423690653685661</v>
      </c>
      <c r="T277">
        <v>0.2857142857142857</v>
      </c>
      <c r="U277" t="s">
        <v>34</v>
      </c>
      <c r="V277">
        <v>0</v>
      </c>
    </row>
    <row r="278" spans="1:22" x14ac:dyDescent="0.3">
      <c r="A278" s="1">
        <v>44733</v>
      </c>
      <c r="B278" t="s">
        <v>30</v>
      </c>
      <c r="C278" t="s">
        <v>41</v>
      </c>
      <c r="D278" t="s">
        <v>46</v>
      </c>
      <c r="E278" t="s">
        <v>25</v>
      </c>
      <c r="F278" t="s">
        <v>26</v>
      </c>
      <c r="G278">
        <v>591</v>
      </c>
      <c r="H278">
        <v>1273</v>
      </c>
      <c r="I278">
        <v>12811.13451</v>
      </c>
      <c r="J278" t="b">
        <v>1</v>
      </c>
      <c r="K278">
        <v>12</v>
      </c>
      <c r="L278" t="b">
        <v>0</v>
      </c>
      <c r="M278">
        <v>69365.448260000005</v>
      </c>
      <c r="N278">
        <v>1145.5</v>
      </c>
      <c r="O278">
        <v>7143</v>
      </c>
      <c r="P278" t="s">
        <v>27</v>
      </c>
      <c r="Q278">
        <v>0.51593190746398954</v>
      </c>
      <c r="R278" t="s">
        <v>28</v>
      </c>
      <c r="S278">
        <v>21.677046548223348</v>
      </c>
      <c r="T278">
        <v>0.16036679266414672</v>
      </c>
      <c r="U278" t="s">
        <v>34</v>
      </c>
      <c r="V278">
        <v>0</v>
      </c>
    </row>
    <row r="279" spans="1:22" x14ac:dyDescent="0.3">
      <c r="A279" s="1">
        <v>44734</v>
      </c>
      <c r="B279" t="s">
        <v>22</v>
      </c>
      <c r="C279" t="s">
        <v>31</v>
      </c>
      <c r="D279" t="s">
        <v>35</v>
      </c>
      <c r="E279" t="s">
        <v>33</v>
      </c>
      <c r="F279" t="s">
        <v>43</v>
      </c>
      <c r="G279">
        <v>693</v>
      </c>
      <c r="H279">
        <v>1018</v>
      </c>
      <c r="I279">
        <v>8640.8564800000004</v>
      </c>
      <c r="J279" t="b">
        <v>1</v>
      </c>
      <c r="K279">
        <v>23</v>
      </c>
      <c r="L279" t="b">
        <v>0</v>
      </c>
      <c r="M279">
        <v>36415.297070000001</v>
      </c>
      <c r="N279">
        <v>2887</v>
      </c>
      <c r="O279">
        <v>5982</v>
      </c>
      <c r="P279" t="s">
        <v>36</v>
      </c>
      <c r="Q279">
        <v>0.2400415656390717</v>
      </c>
      <c r="R279" t="s">
        <v>37</v>
      </c>
      <c r="S279">
        <v>12.46876836940837</v>
      </c>
      <c r="T279">
        <v>0.48261451019725843</v>
      </c>
      <c r="U279" t="s">
        <v>29</v>
      </c>
      <c r="V279">
        <v>0</v>
      </c>
    </row>
    <row r="280" spans="1:22" x14ac:dyDescent="0.3">
      <c r="A280" s="1">
        <v>44735</v>
      </c>
      <c r="B280" t="s">
        <v>30</v>
      </c>
      <c r="C280" t="s">
        <v>23</v>
      </c>
      <c r="D280" t="s">
        <v>46</v>
      </c>
      <c r="E280" t="s">
        <v>25</v>
      </c>
      <c r="F280" t="s">
        <v>26</v>
      </c>
      <c r="G280">
        <v>538</v>
      </c>
      <c r="H280">
        <v>4756</v>
      </c>
      <c r="I280">
        <v>6922.7896559999999</v>
      </c>
      <c r="J280" t="b">
        <v>1</v>
      </c>
      <c r="K280">
        <v>19</v>
      </c>
      <c r="L280" t="b">
        <v>1</v>
      </c>
      <c r="M280">
        <v>68865.402000000002</v>
      </c>
      <c r="N280">
        <v>4306.5</v>
      </c>
      <c r="O280">
        <v>8406</v>
      </c>
      <c r="P280" t="s">
        <v>27</v>
      </c>
      <c r="Q280">
        <v>0.12492743527226285</v>
      </c>
      <c r="R280" t="s">
        <v>37</v>
      </c>
      <c r="S280">
        <v>12.867638765799256</v>
      </c>
      <c r="T280">
        <v>0.51231263383297643</v>
      </c>
      <c r="U280" t="s">
        <v>29</v>
      </c>
      <c r="V280">
        <v>1</v>
      </c>
    </row>
    <row r="281" spans="1:22" x14ac:dyDescent="0.3">
      <c r="A281" s="1">
        <v>44736</v>
      </c>
      <c r="B281" t="s">
        <v>22</v>
      </c>
      <c r="C281" t="s">
        <v>23</v>
      </c>
      <c r="D281" t="s">
        <v>32</v>
      </c>
      <c r="E281" t="s">
        <v>25</v>
      </c>
      <c r="F281" t="s">
        <v>26</v>
      </c>
      <c r="G281">
        <v>88</v>
      </c>
      <c r="H281">
        <v>3857</v>
      </c>
      <c r="I281">
        <v>2537.3558950000001</v>
      </c>
      <c r="J281" t="b">
        <v>0</v>
      </c>
      <c r="K281">
        <v>24</v>
      </c>
      <c r="L281" t="b">
        <v>0</v>
      </c>
      <c r="M281">
        <v>9628.1054050000002</v>
      </c>
      <c r="N281">
        <v>2103.5</v>
      </c>
      <c r="O281">
        <v>5766</v>
      </c>
      <c r="P281" t="s">
        <v>27</v>
      </c>
      <c r="Q281">
        <v>4.1835036843356307E-2</v>
      </c>
      <c r="R281" t="s">
        <v>37</v>
      </c>
      <c r="S281">
        <v>28.833589715909092</v>
      </c>
      <c r="T281">
        <v>0.36481096080471731</v>
      </c>
      <c r="U281" t="s">
        <v>34</v>
      </c>
      <c r="V281">
        <v>0</v>
      </c>
    </row>
    <row r="282" spans="1:22" x14ac:dyDescent="0.3">
      <c r="A282" s="1">
        <v>44737</v>
      </c>
      <c r="B282" t="s">
        <v>42</v>
      </c>
      <c r="C282" t="s">
        <v>23</v>
      </c>
      <c r="D282" t="s">
        <v>46</v>
      </c>
      <c r="E282" t="s">
        <v>33</v>
      </c>
      <c r="F282" t="s">
        <v>39</v>
      </c>
      <c r="G282">
        <v>993</v>
      </c>
      <c r="H282">
        <v>350</v>
      </c>
      <c r="I282">
        <v>9689.4342639999995</v>
      </c>
      <c r="J282" t="b">
        <v>1</v>
      </c>
      <c r="K282">
        <v>13</v>
      </c>
      <c r="L282" t="b">
        <v>0</v>
      </c>
      <c r="M282">
        <v>179787.47579999999</v>
      </c>
      <c r="N282">
        <v>1432.5</v>
      </c>
      <c r="O282">
        <v>7610</v>
      </c>
      <c r="P282" t="s">
        <v>36</v>
      </c>
      <c r="Q282">
        <v>0.69319371727748691</v>
      </c>
      <c r="R282" t="s">
        <v>28</v>
      </c>
      <c r="S282">
        <v>9.7577384330312178</v>
      </c>
      <c r="T282">
        <v>0.18823915900131405</v>
      </c>
      <c r="U282" t="s">
        <v>34</v>
      </c>
      <c r="V282">
        <v>0</v>
      </c>
    </row>
    <row r="283" spans="1:22" x14ac:dyDescent="0.3">
      <c r="A283" s="1">
        <v>44738</v>
      </c>
      <c r="B283" t="s">
        <v>42</v>
      </c>
      <c r="C283" t="s">
        <v>41</v>
      </c>
      <c r="D283" t="s">
        <v>35</v>
      </c>
      <c r="E283" t="s">
        <v>25</v>
      </c>
      <c r="F283" t="s">
        <v>43</v>
      </c>
      <c r="G283">
        <v>991</v>
      </c>
      <c r="H283">
        <v>2515</v>
      </c>
      <c r="I283">
        <v>11045.392819999999</v>
      </c>
      <c r="J283" t="b">
        <v>1</v>
      </c>
      <c r="K283">
        <v>13</v>
      </c>
      <c r="L283" t="b">
        <v>0</v>
      </c>
      <c r="M283">
        <v>76652.647750000004</v>
      </c>
      <c r="N283">
        <v>2763</v>
      </c>
      <c r="O283">
        <v>9326</v>
      </c>
      <c r="P283" t="s">
        <v>36</v>
      </c>
      <c r="Q283">
        <v>0.35866811436844009</v>
      </c>
      <c r="R283" t="s">
        <v>28</v>
      </c>
      <c r="S283">
        <v>11.14570415741675</v>
      </c>
      <c r="T283">
        <v>0.29626849667595967</v>
      </c>
      <c r="U283" t="s">
        <v>34</v>
      </c>
      <c r="V283">
        <v>0</v>
      </c>
    </row>
    <row r="284" spans="1:22" x14ac:dyDescent="0.3">
      <c r="A284" s="1">
        <v>44739</v>
      </c>
      <c r="B284" t="s">
        <v>42</v>
      </c>
      <c r="C284" t="s">
        <v>23</v>
      </c>
      <c r="D284" t="s">
        <v>46</v>
      </c>
      <c r="E284" t="s">
        <v>33</v>
      </c>
      <c r="F284" t="s">
        <v>39</v>
      </c>
      <c r="G284">
        <v>353</v>
      </c>
      <c r="H284">
        <v>3011</v>
      </c>
      <c r="I284">
        <v>9906.6595140000009</v>
      </c>
      <c r="J284" t="b">
        <v>0</v>
      </c>
      <c r="K284">
        <v>18</v>
      </c>
      <c r="L284" t="b">
        <v>0</v>
      </c>
      <c r="M284">
        <v>30080.251789999998</v>
      </c>
      <c r="N284">
        <v>2952</v>
      </c>
      <c r="O284">
        <v>5130</v>
      </c>
      <c r="P284" t="s">
        <v>27</v>
      </c>
      <c r="Q284">
        <v>0.11957994579945799</v>
      </c>
      <c r="R284" t="s">
        <v>37</v>
      </c>
      <c r="S284">
        <v>28.06419125779037</v>
      </c>
      <c r="T284">
        <v>0.57543859649122808</v>
      </c>
      <c r="U284" t="s">
        <v>29</v>
      </c>
      <c r="V284">
        <v>0</v>
      </c>
    </row>
    <row r="285" spans="1:22" x14ac:dyDescent="0.3">
      <c r="A285" s="1">
        <v>44740</v>
      </c>
      <c r="B285" t="s">
        <v>38</v>
      </c>
      <c r="C285" t="s">
        <v>41</v>
      </c>
      <c r="D285" t="s">
        <v>32</v>
      </c>
      <c r="E285" t="s">
        <v>33</v>
      </c>
      <c r="F285" t="s">
        <v>26</v>
      </c>
      <c r="G285">
        <v>600</v>
      </c>
      <c r="H285">
        <v>2893</v>
      </c>
      <c r="I285">
        <v>6688.4603969999998</v>
      </c>
      <c r="J285" t="b">
        <v>1</v>
      </c>
      <c r="K285">
        <v>19</v>
      </c>
      <c r="L285" t="b">
        <v>0</v>
      </c>
      <c r="M285">
        <v>54384.043640000004</v>
      </c>
      <c r="N285">
        <v>1929</v>
      </c>
      <c r="O285">
        <v>5570</v>
      </c>
      <c r="P285" t="s">
        <v>27</v>
      </c>
      <c r="Q285">
        <v>0.31104199066874028</v>
      </c>
      <c r="R285" t="s">
        <v>37</v>
      </c>
      <c r="S285">
        <v>11.147433995</v>
      </c>
      <c r="T285">
        <v>0.34631956912028727</v>
      </c>
      <c r="U285" t="s">
        <v>34</v>
      </c>
      <c r="V285">
        <v>0</v>
      </c>
    </row>
    <row r="286" spans="1:22" x14ac:dyDescent="0.3">
      <c r="A286" s="1">
        <v>44741</v>
      </c>
      <c r="B286" t="s">
        <v>38</v>
      </c>
      <c r="C286" t="s">
        <v>44</v>
      </c>
      <c r="D286" t="s">
        <v>35</v>
      </c>
      <c r="E286" t="s">
        <v>25</v>
      </c>
      <c r="F286" t="s">
        <v>26</v>
      </c>
      <c r="G286">
        <v>578</v>
      </c>
      <c r="H286">
        <v>965</v>
      </c>
      <c r="I286">
        <v>12581.279070000001</v>
      </c>
      <c r="J286" t="b">
        <v>1</v>
      </c>
      <c r="K286">
        <v>8</v>
      </c>
      <c r="L286" t="b">
        <v>0</v>
      </c>
      <c r="M286">
        <v>113898.1689</v>
      </c>
      <c r="N286">
        <v>2102.5</v>
      </c>
      <c r="O286">
        <v>5113</v>
      </c>
      <c r="P286" t="s">
        <v>36</v>
      </c>
      <c r="Q286">
        <v>0.27491082045184306</v>
      </c>
      <c r="R286" t="s">
        <v>28</v>
      </c>
      <c r="S286">
        <v>21.766918806228375</v>
      </c>
      <c r="T286">
        <v>0.41120672794836693</v>
      </c>
      <c r="U286" t="s">
        <v>29</v>
      </c>
      <c r="V286">
        <v>0</v>
      </c>
    </row>
    <row r="287" spans="1:22" x14ac:dyDescent="0.3">
      <c r="A287" s="1">
        <v>44742</v>
      </c>
      <c r="B287" t="s">
        <v>42</v>
      </c>
      <c r="C287" t="s">
        <v>41</v>
      </c>
      <c r="D287" t="s">
        <v>35</v>
      </c>
      <c r="E287" t="s">
        <v>45</v>
      </c>
      <c r="F287" t="s">
        <v>26</v>
      </c>
      <c r="G287">
        <v>470</v>
      </c>
      <c r="H287">
        <v>3240</v>
      </c>
      <c r="I287">
        <v>4358.565364</v>
      </c>
      <c r="J287" t="b">
        <v>1</v>
      </c>
      <c r="K287">
        <v>7</v>
      </c>
      <c r="L287" t="b">
        <v>0</v>
      </c>
      <c r="M287">
        <v>48215.068330000002</v>
      </c>
      <c r="N287">
        <v>3373.5</v>
      </c>
      <c r="O287">
        <v>5411</v>
      </c>
      <c r="P287" t="s">
        <v>36</v>
      </c>
      <c r="Q287">
        <v>0.13932117978360753</v>
      </c>
      <c r="R287" t="s">
        <v>40</v>
      </c>
      <c r="S287">
        <v>9.2735433276595742</v>
      </c>
      <c r="T287">
        <v>0.62345222694511182</v>
      </c>
      <c r="U287" t="s">
        <v>29</v>
      </c>
      <c r="V287">
        <v>0</v>
      </c>
    </row>
    <row r="288" spans="1:22" x14ac:dyDescent="0.3">
      <c r="A288" s="1">
        <v>44743</v>
      </c>
      <c r="B288" t="s">
        <v>38</v>
      </c>
      <c r="C288" t="s">
        <v>41</v>
      </c>
      <c r="D288" t="s">
        <v>24</v>
      </c>
      <c r="E288" t="s">
        <v>25</v>
      </c>
      <c r="F288" t="s">
        <v>26</v>
      </c>
      <c r="G288">
        <v>309</v>
      </c>
      <c r="H288">
        <v>3507</v>
      </c>
      <c r="I288">
        <v>14881.56099</v>
      </c>
      <c r="J288" t="b">
        <v>1</v>
      </c>
      <c r="K288">
        <v>3</v>
      </c>
      <c r="L288" t="b">
        <v>0</v>
      </c>
      <c r="M288">
        <v>32337.445070000002</v>
      </c>
      <c r="N288">
        <v>3168</v>
      </c>
      <c r="O288">
        <v>7691</v>
      </c>
      <c r="P288" t="s">
        <v>27</v>
      </c>
      <c r="Q288">
        <v>9.7537878787878785E-2</v>
      </c>
      <c r="R288" t="s">
        <v>40</v>
      </c>
      <c r="S288">
        <v>48.160391553398057</v>
      </c>
      <c r="T288">
        <v>0.41191002470419974</v>
      </c>
      <c r="U288" t="s">
        <v>29</v>
      </c>
      <c r="V288">
        <v>0</v>
      </c>
    </row>
    <row r="289" spans="1:22" x14ac:dyDescent="0.3">
      <c r="A289" s="1">
        <v>44744</v>
      </c>
      <c r="B289" t="s">
        <v>22</v>
      </c>
      <c r="C289" t="s">
        <v>44</v>
      </c>
      <c r="D289" t="s">
        <v>24</v>
      </c>
      <c r="E289" t="s">
        <v>45</v>
      </c>
      <c r="F289" t="s">
        <v>26</v>
      </c>
      <c r="G289">
        <v>80</v>
      </c>
      <c r="H289">
        <v>2829</v>
      </c>
      <c r="I289">
        <v>7871.1545699999997</v>
      </c>
      <c r="J289" t="b">
        <v>1</v>
      </c>
      <c r="K289">
        <v>24</v>
      </c>
      <c r="L289" t="b">
        <v>0</v>
      </c>
      <c r="M289">
        <v>11500.030140000001</v>
      </c>
      <c r="N289">
        <v>3014</v>
      </c>
      <c r="O289">
        <v>6475</v>
      </c>
      <c r="P289" t="s">
        <v>36</v>
      </c>
      <c r="Q289">
        <v>2.6542800265428004E-2</v>
      </c>
      <c r="R289" t="s">
        <v>37</v>
      </c>
      <c r="S289">
        <v>98.389432124999999</v>
      </c>
      <c r="T289">
        <v>0.46548262548262548</v>
      </c>
      <c r="U289" t="s">
        <v>29</v>
      </c>
      <c r="V289">
        <v>0</v>
      </c>
    </row>
    <row r="290" spans="1:22" x14ac:dyDescent="0.3">
      <c r="A290" s="1">
        <v>44745</v>
      </c>
      <c r="B290" t="s">
        <v>22</v>
      </c>
      <c r="C290" t="s">
        <v>41</v>
      </c>
      <c r="D290" t="s">
        <v>24</v>
      </c>
      <c r="E290" t="s">
        <v>33</v>
      </c>
      <c r="F290" t="s">
        <v>26</v>
      </c>
      <c r="G290">
        <v>236</v>
      </c>
      <c r="H290">
        <v>3199</v>
      </c>
      <c r="I290">
        <v>11126.72307</v>
      </c>
      <c r="J290" t="b">
        <v>1</v>
      </c>
      <c r="K290">
        <v>27</v>
      </c>
      <c r="L290" t="b">
        <v>1</v>
      </c>
      <c r="M290">
        <v>17072.841789999999</v>
      </c>
      <c r="N290">
        <v>1866</v>
      </c>
      <c r="O290">
        <v>8962</v>
      </c>
      <c r="P290" t="s">
        <v>27</v>
      </c>
      <c r="Q290">
        <v>0.12647374062165059</v>
      </c>
      <c r="R290" t="s">
        <v>37</v>
      </c>
      <c r="S290">
        <v>47.14713165254237</v>
      </c>
      <c r="T290">
        <v>0.20821245257754967</v>
      </c>
      <c r="U290" t="s">
        <v>34</v>
      </c>
      <c r="V290">
        <v>1</v>
      </c>
    </row>
    <row r="291" spans="1:22" x14ac:dyDescent="0.3">
      <c r="A291" s="1">
        <v>44746</v>
      </c>
      <c r="B291" t="s">
        <v>30</v>
      </c>
      <c r="C291" t="s">
        <v>23</v>
      </c>
      <c r="D291" t="s">
        <v>35</v>
      </c>
      <c r="E291" t="s">
        <v>33</v>
      </c>
      <c r="F291" t="s">
        <v>26</v>
      </c>
      <c r="G291">
        <v>812</v>
      </c>
      <c r="H291">
        <v>533</v>
      </c>
      <c r="I291">
        <v>13434.85347</v>
      </c>
      <c r="J291" t="b">
        <v>1</v>
      </c>
      <c r="K291">
        <v>11</v>
      </c>
      <c r="L291" t="b">
        <v>0</v>
      </c>
      <c r="M291">
        <v>93491.385989999995</v>
      </c>
      <c r="N291">
        <v>2578.5</v>
      </c>
      <c r="O291">
        <v>9413</v>
      </c>
      <c r="P291" t="s">
        <v>36</v>
      </c>
      <c r="Q291">
        <v>0.31491177040915258</v>
      </c>
      <c r="R291" t="s">
        <v>28</v>
      </c>
      <c r="S291">
        <v>16.545386046798029</v>
      </c>
      <c r="T291">
        <v>0.27392967173058536</v>
      </c>
      <c r="U291" t="s">
        <v>34</v>
      </c>
      <c r="V291">
        <v>0</v>
      </c>
    </row>
    <row r="292" spans="1:22" x14ac:dyDescent="0.3">
      <c r="A292" s="1">
        <v>44747</v>
      </c>
      <c r="B292" t="s">
        <v>38</v>
      </c>
      <c r="C292" t="s">
        <v>44</v>
      </c>
      <c r="D292" t="s">
        <v>46</v>
      </c>
      <c r="E292" t="s">
        <v>45</v>
      </c>
      <c r="F292" t="s">
        <v>26</v>
      </c>
      <c r="G292">
        <v>608</v>
      </c>
      <c r="H292">
        <v>4624</v>
      </c>
      <c r="I292">
        <v>9861.1401549999991</v>
      </c>
      <c r="J292" t="b">
        <v>1</v>
      </c>
      <c r="K292">
        <v>10</v>
      </c>
      <c r="L292" t="b">
        <v>1</v>
      </c>
      <c r="M292">
        <v>40208.723680000003</v>
      </c>
      <c r="N292">
        <v>2747.5</v>
      </c>
      <c r="O292">
        <v>7649</v>
      </c>
      <c r="P292" t="s">
        <v>27</v>
      </c>
      <c r="Q292">
        <v>0.22129208371246586</v>
      </c>
      <c r="R292" t="s">
        <v>28</v>
      </c>
      <c r="S292">
        <v>16.218980518092103</v>
      </c>
      <c r="T292">
        <v>0.35919728069028634</v>
      </c>
      <c r="U292" t="s">
        <v>34</v>
      </c>
      <c r="V292">
        <v>1</v>
      </c>
    </row>
    <row r="293" spans="1:22" x14ac:dyDescent="0.3">
      <c r="A293" s="1">
        <v>44748</v>
      </c>
      <c r="B293" t="s">
        <v>30</v>
      </c>
      <c r="C293" t="s">
        <v>31</v>
      </c>
      <c r="D293" t="s">
        <v>24</v>
      </c>
      <c r="E293" t="s">
        <v>33</v>
      </c>
      <c r="F293" t="s">
        <v>26</v>
      </c>
      <c r="G293">
        <v>404</v>
      </c>
      <c r="H293">
        <v>871</v>
      </c>
      <c r="I293">
        <v>10507.480519999999</v>
      </c>
      <c r="J293" t="b">
        <v>1</v>
      </c>
      <c r="K293">
        <v>2</v>
      </c>
      <c r="L293" t="b">
        <v>0</v>
      </c>
      <c r="M293">
        <v>43353.223669999999</v>
      </c>
      <c r="N293">
        <v>1484</v>
      </c>
      <c r="O293">
        <v>8659</v>
      </c>
      <c r="P293" t="s">
        <v>36</v>
      </c>
      <c r="Q293">
        <v>0.27223719676549868</v>
      </c>
      <c r="R293" t="s">
        <v>40</v>
      </c>
      <c r="S293">
        <v>26.008615148514849</v>
      </c>
      <c r="T293">
        <v>0.1713823767178658</v>
      </c>
      <c r="U293" t="s">
        <v>34</v>
      </c>
      <c r="V293">
        <v>0</v>
      </c>
    </row>
    <row r="294" spans="1:22" x14ac:dyDescent="0.3">
      <c r="A294" s="1">
        <v>44749</v>
      </c>
      <c r="B294" t="s">
        <v>30</v>
      </c>
      <c r="C294" t="s">
        <v>31</v>
      </c>
      <c r="D294" t="s">
        <v>24</v>
      </c>
      <c r="E294" t="s">
        <v>45</v>
      </c>
      <c r="F294" t="s">
        <v>26</v>
      </c>
      <c r="G294">
        <v>577</v>
      </c>
      <c r="H294">
        <v>2097</v>
      </c>
      <c r="I294">
        <v>3018.2387359999998</v>
      </c>
      <c r="J294" t="b">
        <v>1</v>
      </c>
      <c r="K294">
        <v>18</v>
      </c>
      <c r="L294" t="b">
        <v>0</v>
      </c>
      <c r="M294">
        <v>55113.387479999998</v>
      </c>
      <c r="N294">
        <v>3198.5</v>
      </c>
      <c r="O294">
        <v>7782</v>
      </c>
      <c r="P294" t="s">
        <v>36</v>
      </c>
      <c r="Q294">
        <v>0.18039706112240111</v>
      </c>
      <c r="R294" t="s">
        <v>37</v>
      </c>
      <c r="S294">
        <v>5.2309163535528596</v>
      </c>
      <c r="T294">
        <v>0.41101259316371114</v>
      </c>
      <c r="U294" t="s">
        <v>29</v>
      </c>
      <c r="V294">
        <v>0</v>
      </c>
    </row>
    <row r="295" spans="1:22" x14ac:dyDescent="0.3">
      <c r="A295" s="1">
        <v>44750</v>
      </c>
      <c r="B295" t="s">
        <v>38</v>
      </c>
      <c r="C295" t="s">
        <v>31</v>
      </c>
      <c r="D295" t="s">
        <v>46</v>
      </c>
      <c r="E295" t="s">
        <v>45</v>
      </c>
      <c r="F295" t="s">
        <v>39</v>
      </c>
      <c r="G295">
        <v>462</v>
      </c>
      <c r="H295">
        <v>4300</v>
      </c>
      <c r="I295">
        <v>2040.5627730000001</v>
      </c>
      <c r="J295" t="b">
        <v>1</v>
      </c>
      <c r="K295">
        <v>3</v>
      </c>
      <c r="L295" t="b">
        <v>0</v>
      </c>
      <c r="M295">
        <v>23202.829829999999</v>
      </c>
      <c r="N295">
        <v>2312.5</v>
      </c>
      <c r="O295">
        <v>5251</v>
      </c>
      <c r="P295" t="s">
        <v>27</v>
      </c>
      <c r="Q295">
        <v>0.19978378378378378</v>
      </c>
      <c r="R295" t="s">
        <v>40</v>
      </c>
      <c r="S295">
        <v>4.416802538961039</v>
      </c>
      <c r="T295">
        <v>0.44039230622738523</v>
      </c>
      <c r="U295" t="s">
        <v>29</v>
      </c>
      <c r="V295">
        <v>0</v>
      </c>
    </row>
    <row r="296" spans="1:22" x14ac:dyDescent="0.3">
      <c r="A296" s="1">
        <v>44751</v>
      </c>
      <c r="B296" t="s">
        <v>38</v>
      </c>
      <c r="C296" t="s">
        <v>23</v>
      </c>
      <c r="D296" t="s">
        <v>24</v>
      </c>
      <c r="E296" t="s">
        <v>33</v>
      </c>
      <c r="F296" t="s">
        <v>43</v>
      </c>
      <c r="G296">
        <v>557</v>
      </c>
      <c r="H296">
        <v>325</v>
      </c>
      <c r="I296">
        <v>1278.6076399999999</v>
      </c>
      <c r="J296" t="b">
        <v>1</v>
      </c>
      <c r="K296">
        <v>18</v>
      </c>
      <c r="L296" t="b">
        <v>0</v>
      </c>
      <c r="M296">
        <v>87800.674270000003</v>
      </c>
      <c r="N296">
        <v>2255.5</v>
      </c>
      <c r="O296">
        <v>9644</v>
      </c>
      <c r="P296" t="s">
        <v>36</v>
      </c>
      <c r="Q296">
        <v>0.24695189536688095</v>
      </c>
      <c r="R296" t="s">
        <v>37</v>
      </c>
      <c r="S296">
        <v>2.2955253859964091</v>
      </c>
      <c r="T296">
        <v>0.23387598506843632</v>
      </c>
      <c r="U296" t="s">
        <v>34</v>
      </c>
      <c r="V296">
        <v>0</v>
      </c>
    </row>
    <row r="297" spans="1:22" x14ac:dyDescent="0.3">
      <c r="A297" s="1">
        <v>44752</v>
      </c>
      <c r="B297" t="s">
        <v>30</v>
      </c>
      <c r="C297" t="s">
        <v>23</v>
      </c>
      <c r="D297" t="s">
        <v>46</v>
      </c>
      <c r="E297" t="s">
        <v>33</v>
      </c>
      <c r="F297" t="s">
        <v>43</v>
      </c>
      <c r="G297">
        <v>205</v>
      </c>
      <c r="H297">
        <v>4186</v>
      </c>
      <c r="I297">
        <v>14242.658939999999</v>
      </c>
      <c r="J297" t="b">
        <v>1</v>
      </c>
      <c r="K297">
        <v>15</v>
      </c>
      <c r="L297" t="b">
        <v>0</v>
      </c>
      <c r="M297">
        <v>30567.024089999999</v>
      </c>
      <c r="N297">
        <v>3710</v>
      </c>
      <c r="O297">
        <v>9438</v>
      </c>
      <c r="P297" t="s">
        <v>27</v>
      </c>
      <c r="Q297">
        <v>5.5256064690026953E-2</v>
      </c>
      <c r="R297" t="s">
        <v>37</v>
      </c>
      <c r="S297">
        <v>69.476385073170732</v>
      </c>
      <c r="T297">
        <v>0.39309175672812036</v>
      </c>
      <c r="U297" t="s">
        <v>34</v>
      </c>
      <c r="V297">
        <v>0</v>
      </c>
    </row>
    <row r="298" spans="1:22" x14ac:dyDescent="0.3">
      <c r="A298" s="1">
        <v>44753</v>
      </c>
      <c r="B298" t="s">
        <v>30</v>
      </c>
      <c r="C298" t="s">
        <v>44</v>
      </c>
      <c r="D298" t="s">
        <v>35</v>
      </c>
      <c r="E298" t="s">
        <v>45</v>
      </c>
      <c r="F298" t="s">
        <v>39</v>
      </c>
      <c r="G298">
        <v>707</v>
      </c>
      <c r="H298">
        <v>3234</v>
      </c>
      <c r="I298">
        <v>8931.0822449999996</v>
      </c>
      <c r="J298" t="b">
        <v>0</v>
      </c>
      <c r="K298">
        <v>25</v>
      </c>
      <c r="L298" t="b">
        <v>0</v>
      </c>
      <c r="M298">
        <v>132759.34700000001</v>
      </c>
      <c r="N298">
        <v>3668</v>
      </c>
      <c r="O298">
        <v>9793</v>
      </c>
      <c r="P298" t="s">
        <v>36</v>
      </c>
      <c r="Q298">
        <v>0.19274809160305342</v>
      </c>
      <c r="R298" t="s">
        <v>37</v>
      </c>
      <c r="S298">
        <v>12.632365268741159</v>
      </c>
      <c r="T298">
        <v>0.37455325232308789</v>
      </c>
      <c r="U298" t="s">
        <v>34</v>
      </c>
      <c r="V298">
        <v>0</v>
      </c>
    </row>
    <row r="299" spans="1:22" x14ac:dyDescent="0.3">
      <c r="A299" s="1">
        <v>44754</v>
      </c>
      <c r="B299" t="s">
        <v>38</v>
      </c>
      <c r="C299" t="s">
        <v>41</v>
      </c>
      <c r="D299" t="s">
        <v>24</v>
      </c>
      <c r="E299" t="s">
        <v>33</v>
      </c>
      <c r="F299" t="s">
        <v>26</v>
      </c>
      <c r="G299">
        <v>426</v>
      </c>
      <c r="H299">
        <v>4102</v>
      </c>
      <c r="I299">
        <v>10912.475200000001</v>
      </c>
      <c r="J299" t="b">
        <v>1</v>
      </c>
      <c r="K299">
        <v>20</v>
      </c>
      <c r="L299" t="b">
        <v>0</v>
      </c>
      <c r="M299">
        <v>61706.600469999998</v>
      </c>
      <c r="N299">
        <v>4477.5</v>
      </c>
      <c r="O299">
        <v>6665</v>
      </c>
      <c r="P299" t="s">
        <v>36</v>
      </c>
      <c r="Q299">
        <v>9.5142378559463989E-2</v>
      </c>
      <c r="R299" t="s">
        <v>37</v>
      </c>
      <c r="S299">
        <v>25.616138967136152</v>
      </c>
      <c r="T299">
        <v>0.67179294823705926</v>
      </c>
      <c r="U299" t="s">
        <v>29</v>
      </c>
      <c r="V299">
        <v>0</v>
      </c>
    </row>
    <row r="300" spans="1:22" x14ac:dyDescent="0.3">
      <c r="A300" s="1">
        <v>44755</v>
      </c>
      <c r="B300" t="s">
        <v>42</v>
      </c>
      <c r="C300" t="s">
        <v>41</v>
      </c>
      <c r="D300" t="s">
        <v>32</v>
      </c>
      <c r="E300" t="s">
        <v>25</v>
      </c>
      <c r="F300" t="s">
        <v>26</v>
      </c>
      <c r="G300">
        <v>895</v>
      </c>
      <c r="H300">
        <v>4853</v>
      </c>
      <c r="I300">
        <v>8123.6698820000001</v>
      </c>
      <c r="J300" t="b">
        <v>1</v>
      </c>
      <c r="K300">
        <v>29</v>
      </c>
      <c r="L300" t="b">
        <v>0</v>
      </c>
      <c r="M300">
        <v>154443.37359999999</v>
      </c>
      <c r="N300">
        <v>3142.5</v>
      </c>
      <c r="O300">
        <v>6856</v>
      </c>
      <c r="P300" t="s">
        <v>27</v>
      </c>
      <c r="Q300">
        <v>0.28480509148766903</v>
      </c>
      <c r="R300" t="s">
        <v>37</v>
      </c>
      <c r="S300">
        <v>9.0767261251396647</v>
      </c>
      <c r="T300">
        <v>0.45835764294049008</v>
      </c>
      <c r="U300" t="s">
        <v>29</v>
      </c>
      <c r="V300">
        <v>0</v>
      </c>
    </row>
    <row r="301" spans="1:22" x14ac:dyDescent="0.3">
      <c r="A301" s="1">
        <v>44756</v>
      </c>
      <c r="B301" t="s">
        <v>22</v>
      </c>
      <c r="C301" t="s">
        <v>31</v>
      </c>
      <c r="D301" t="s">
        <v>46</v>
      </c>
      <c r="E301" t="s">
        <v>45</v>
      </c>
      <c r="F301" t="s">
        <v>26</v>
      </c>
      <c r="G301">
        <v>593</v>
      </c>
      <c r="H301">
        <v>1432</v>
      </c>
      <c r="I301">
        <v>10323.218639999999</v>
      </c>
      <c r="J301" t="b">
        <v>1</v>
      </c>
      <c r="K301">
        <v>1</v>
      </c>
      <c r="L301" t="b">
        <v>0</v>
      </c>
      <c r="M301">
        <v>84709.306419999994</v>
      </c>
      <c r="N301">
        <v>1052</v>
      </c>
      <c r="O301">
        <v>8111</v>
      </c>
      <c r="P301" t="s">
        <v>27</v>
      </c>
      <c r="Q301">
        <v>0.56368821292775662</v>
      </c>
      <c r="R301" t="s">
        <v>40</v>
      </c>
      <c r="S301">
        <v>17.408463136593589</v>
      </c>
      <c r="T301">
        <v>0.12970040685488843</v>
      </c>
      <c r="U301" t="s">
        <v>34</v>
      </c>
      <c r="V301">
        <v>0</v>
      </c>
    </row>
    <row r="302" spans="1:22" x14ac:dyDescent="0.3">
      <c r="A302" s="1">
        <v>44757</v>
      </c>
      <c r="B302" t="s">
        <v>30</v>
      </c>
      <c r="C302" t="s">
        <v>31</v>
      </c>
      <c r="D302" t="s">
        <v>24</v>
      </c>
      <c r="E302" t="s">
        <v>45</v>
      </c>
      <c r="F302" t="s">
        <v>43</v>
      </c>
      <c r="G302">
        <v>332</v>
      </c>
      <c r="H302">
        <v>672</v>
      </c>
      <c r="I302">
        <v>9292.5986959999991</v>
      </c>
      <c r="J302" t="b">
        <v>1</v>
      </c>
      <c r="K302">
        <v>19</v>
      </c>
      <c r="L302" t="b">
        <v>0</v>
      </c>
      <c r="M302">
        <v>24829.01874</v>
      </c>
      <c r="N302">
        <v>1891</v>
      </c>
      <c r="O302">
        <v>9641</v>
      </c>
      <c r="P302" t="s">
        <v>36</v>
      </c>
      <c r="Q302">
        <v>0.17556848228450556</v>
      </c>
      <c r="R302" t="s">
        <v>37</v>
      </c>
      <c r="S302">
        <v>27.989755108433734</v>
      </c>
      <c r="T302">
        <v>0.19614147909967847</v>
      </c>
      <c r="U302" t="s">
        <v>34</v>
      </c>
      <c r="V302">
        <v>0</v>
      </c>
    </row>
    <row r="303" spans="1:22" x14ac:dyDescent="0.3">
      <c r="A303" s="1">
        <v>44758</v>
      </c>
      <c r="B303" t="s">
        <v>30</v>
      </c>
      <c r="C303" t="s">
        <v>44</v>
      </c>
      <c r="D303" t="s">
        <v>46</v>
      </c>
      <c r="E303" t="s">
        <v>45</v>
      </c>
      <c r="F303" t="s">
        <v>26</v>
      </c>
      <c r="G303">
        <v>860</v>
      </c>
      <c r="H303">
        <v>3110</v>
      </c>
      <c r="I303">
        <v>3294.0208729999999</v>
      </c>
      <c r="J303" t="b">
        <v>1</v>
      </c>
      <c r="K303">
        <v>22</v>
      </c>
      <c r="L303" t="b">
        <v>0</v>
      </c>
      <c r="M303">
        <v>79918.407630000002</v>
      </c>
      <c r="N303">
        <v>3703</v>
      </c>
      <c r="O303">
        <v>7905</v>
      </c>
      <c r="P303" t="s">
        <v>36</v>
      </c>
      <c r="Q303">
        <v>0.23224412638401296</v>
      </c>
      <c r="R303" t="s">
        <v>37</v>
      </c>
      <c r="S303">
        <v>3.8302568290697674</v>
      </c>
      <c r="T303">
        <v>0.46843769765970905</v>
      </c>
      <c r="U303" t="s">
        <v>29</v>
      </c>
      <c r="V303">
        <v>0</v>
      </c>
    </row>
    <row r="304" spans="1:22" x14ac:dyDescent="0.3">
      <c r="A304" s="1">
        <v>44759</v>
      </c>
      <c r="B304" t="s">
        <v>42</v>
      </c>
      <c r="C304" t="s">
        <v>44</v>
      </c>
      <c r="D304" t="s">
        <v>32</v>
      </c>
      <c r="E304" t="s">
        <v>33</v>
      </c>
      <c r="F304" t="s">
        <v>39</v>
      </c>
      <c r="G304">
        <v>684</v>
      </c>
      <c r="H304">
        <v>4296</v>
      </c>
      <c r="I304">
        <v>9424.0455959999999</v>
      </c>
      <c r="J304" t="b">
        <v>0</v>
      </c>
      <c r="K304">
        <v>7</v>
      </c>
      <c r="L304" t="b">
        <v>0</v>
      </c>
      <c r="M304">
        <v>89680.877280000001</v>
      </c>
      <c r="N304">
        <v>2919.5</v>
      </c>
      <c r="O304">
        <v>6940</v>
      </c>
      <c r="P304" t="s">
        <v>27</v>
      </c>
      <c r="Q304">
        <v>0.23428669292687104</v>
      </c>
      <c r="R304" t="s">
        <v>40</v>
      </c>
      <c r="S304">
        <v>13.777844438596491</v>
      </c>
      <c r="T304">
        <v>0.42067723342939484</v>
      </c>
      <c r="U304" t="s">
        <v>29</v>
      </c>
      <c r="V304">
        <v>0</v>
      </c>
    </row>
    <row r="305" spans="1:22" x14ac:dyDescent="0.3">
      <c r="A305" s="1">
        <v>44760</v>
      </c>
      <c r="B305" t="s">
        <v>38</v>
      </c>
      <c r="C305" t="s">
        <v>44</v>
      </c>
      <c r="D305" t="s">
        <v>46</v>
      </c>
      <c r="E305" t="s">
        <v>25</v>
      </c>
      <c r="F305" t="s">
        <v>26</v>
      </c>
      <c r="G305">
        <v>805</v>
      </c>
      <c r="H305">
        <v>1543</v>
      </c>
      <c r="I305">
        <v>13781.05696</v>
      </c>
      <c r="J305" t="b">
        <v>1</v>
      </c>
      <c r="K305">
        <v>14</v>
      </c>
      <c r="L305" t="b">
        <v>0</v>
      </c>
      <c r="M305">
        <v>100013.6577</v>
      </c>
      <c r="N305">
        <v>2662</v>
      </c>
      <c r="O305">
        <v>9914</v>
      </c>
      <c r="P305" t="s">
        <v>36</v>
      </c>
      <c r="Q305">
        <v>0.30240420736288504</v>
      </c>
      <c r="R305" t="s">
        <v>28</v>
      </c>
      <c r="S305">
        <v>17.119325416149067</v>
      </c>
      <c r="T305">
        <v>0.26850917893887433</v>
      </c>
      <c r="U305" t="s">
        <v>34</v>
      </c>
      <c r="V305">
        <v>0</v>
      </c>
    </row>
    <row r="306" spans="1:22" x14ac:dyDescent="0.3">
      <c r="A306" s="1">
        <v>44761</v>
      </c>
      <c r="B306" t="s">
        <v>42</v>
      </c>
      <c r="C306" t="s">
        <v>31</v>
      </c>
      <c r="D306" t="s">
        <v>32</v>
      </c>
      <c r="E306" t="s">
        <v>33</v>
      </c>
      <c r="F306" t="s">
        <v>43</v>
      </c>
      <c r="G306">
        <v>995</v>
      </c>
      <c r="H306">
        <v>3781</v>
      </c>
      <c r="I306">
        <v>1371.574063</v>
      </c>
      <c r="J306" t="b">
        <v>1</v>
      </c>
      <c r="K306">
        <v>17</v>
      </c>
      <c r="L306" t="b">
        <v>1</v>
      </c>
      <c r="M306">
        <v>107431.7703</v>
      </c>
      <c r="N306">
        <v>3450</v>
      </c>
      <c r="O306">
        <v>8978</v>
      </c>
      <c r="P306" t="s">
        <v>27</v>
      </c>
      <c r="Q306">
        <v>0.28840579710144926</v>
      </c>
      <c r="R306" t="s">
        <v>37</v>
      </c>
      <c r="S306">
        <v>1.3784663949748743</v>
      </c>
      <c r="T306">
        <v>0.3842726665181555</v>
      </c>
      <c r="U306" t="s">
        <v>34</v>
      </c>
      <c r="V306">
        <v>1</v>
      </c>
    </row>
    <row r="307" spans="1:22" x14ac:dyDescent="0.3">
      <c r="A307" s="1">
        <v>44762</v>
      </c>
      <c r="B307" t="s">
        <v>42</v>
      </c>
      <c r="C307" t="s">
        <v>31</v>
      </c>
      <c r="D307" t="s">
        <v>32</v>
      </c>
      <c r="E307" t="s">
        <v>25</v>
      </c>
      <c r="F307" t="s">
        <v>26</v>
      </c>
      <c r="G307">
        <v>341</v>
      </c>
      <c r="H307">
        <v>3119</v>
      </c>
      <c r="I307">
        <v>7800.9459139999999</v>
      </c>
      <c r="J307" t="b">
        <v>1</v>
      </c>
      <c r="K307">
        <v>28</v>
      </c>
      <c r="L307" t="b">
        <v>0</v>
      </c>
      <c r="M307">
        <v>10231.418949999999</v>
      </c>
      <c r="N307">
        <v>3764.5</v>
      </c>
      <c r="O307">
        <v>9822</v>
      </c>
      <c r="P307" t="s">
        <v>36</v>
      </c>
      <c r="Q307">
        <v>9.0583078762119809E-2</v>
      </c>
      <c r="R307" t="s">
        <v>37</v>
      </c>
      <c r="S307">
        <v>22.876674234604106</v>
      </c>
      <c r="T307">
        <v>0.3832722459784158</v>
      </c>
      <c r="U307" t="s">
        <v>34</v>
      </c>
      <c r="V307">
        <v>0</v>
      </c>
    </row>
    <row r="308" spans="1:22" x14ac:dyDescent="0.3">
      <c r="A308" s="1">
        <v>44763</v>
      </c>
      <c r="B308" t="s">
        <v>22</v>
      </c>
      <c r="C308" t="s">
        <v>44</v>
      </c>
      <c r="D308" t="s">
        <v>24</v>
      </c>
      <c r="E308" t="s">
        <v>25</v>
      </c>
      <c r="F308" t="s">
        <v>39</v>
      </c>
      <c r="G308">
        <v>969</v>
      </c>
      <c r="H308">
        <v>4410</v>
      </c>
      <c r="I308">
        <v>9665.7752130000008</v>
      </c>
      <c r="J308" t="b">
        <v>1</v>
      </c>
      <c r="K308">
        <v>9</v>
      </c>
      <c r="L308" t="b">
        <v>0</v>
      </c>
      <c r="M308">
        <v>143976.6262</v>
      </c>
      <c r="N308">
        <v>4704.5</v>
      </c>
      <c r="O308">
        <v>5430</v>
      </c>
      <c r="P308" t="s">
        <v>36</v>
      </c>
      <c r="Q308">
        <v>0.20597300457009246</v>
      </c>
      <c r="R308" t="s">
        <v>28</v>
      </c>
      <c r="S308">
        <v>9.9750002198142429</v>
      </c>
      <c r="T308">
        <v>0.86639042357274398</v>
      </c>
      <c r="U308" t="s">
        <v>47</v>
      </c>
      <c r="V308">
        <v>0</v>
      </c>
    </row>
    <row r="309" spans="1:22" x14ac:dyDescent="0.3">
      <c r="A309" s="1">
        <v>44764</v>
      </c>
      <c r="B309" t="s">
        <v>22</v>
      </c>
      <c r="C309" t="s">
        <v>44</v>
      </c>
      <c r="D309" t="s">
        <v>24</v>
      </c>
      <c r="E309" t="s">
        <v>45</v>
      </c>
      <c r="F309" t="s">
        <v>43</v>
      </c>
      <c r="G309">
        <v>814</v>
      </c>
      <c r="H309">
        <v>4999</v>
      </c>
      <c r="I309">
        <v>12111.63898</v>
      </c>
      <c r="J309" t="b">
        <v>1</v>
      </c>
      <c r="K309">
        <v>6</v>
      </c>
      <c r="L309" t="b">
        <v>0</v>
      </c>
      <c r="M309">
        <v>60729.764430000003</v>
      </c>
      <c r="N309">
        <v>4542</v>
      </c>
      <c r="O309">
        <v>9766</v>
      </c>
      <c r="P309" t="s">
        <v>27</v>
      </c>
      <c r="Q309">
        <v>0.17921620431527963</v>
      </c>
      <c r="R309" t="s">
        <v>40</v>
      </c>
      <c r="S309">
        <v>14.879163366093366</v>
      </c>
      <c r="T309">
        <v>0.46508294081507268</v>
      </c>
      <c r="U309" t="s">
        <v>29</v>
      </c>
      <c r="V309">
        <v>0</v>
      </c>
    </row>
    <row r="310" spans="1:22" x14ac:dyDescent="0.3">
      <c r="A310" s="1">
        <v>44765</v>
      </c>
      <c r="B310" t="s">
        <v>30</v>
      </c>
      <c r="C310" t="s">
        <v>23</v>
      </c>
      <c r="D310" t="s">
        <v>32</v>
      </c>
      <c r="E310" t="s">
        <v>25</v>
      </c>
      <c r="F310" t="s">
        <v>26</v>
      </c>
      <c r="G310">
        <v>569</v>
      </c>
      <c r="H310">
        <v>4085</v>
      </c>
      <c r="I310">
        <v>4225.2571280000002</v>
      </c>
      <c r="J310" t="b">
        <v>1</v>
      </c>
      <c r="K310">
        <v>28</v>
      </c>
      <c r="L310" t="b">
        <v>1</v>
      </c>
      <c r="M310">
        <v>52031.719250000002</v>
      </c>
      <c r="N310">
        <v>3118</v>
      </c>
      <c r="O310">
        <v>5790</v>
      </c>
      <c r="P310" t="s">
        <v>27</v>
      </c>
      <c r="Q310">
        <v>0.18248877485567672</v>
      </c>
      <c r="R310" t="s">
        <v>37</v>
      </c>
      <c r="S310">
        <v>7.4257594516695962</v>
      </c>
      <c r="T310">
        <v>0.53851468048359241</v>
      </c>
      <c r="U310" t="s">
        <v>29</v>
      </c>
      <c r="V310">
        <v>1</v>
      </c>
    </row>
    <row r="311" spans="1:22" x14ac:dyDescent="0.3">
      <c r="A311" s="1">
        <v>44766</v>
      </c>
      <c r="B311" t="s">
        <v>30</v>
      </c>
      <c r="C311" t="s">
        <v>44</v>
      </c>
      <c r="D311" t="s">
        <v>35</v>
      </c>
      <c r="E311" t="s">
        <v>33</v>
      </c>
      <c r="F311" t="s">
        <v>43</v>
      </c>
      <c r="G311">
        <v>340</v>
      </c>
      <c r="H311">
        <v>2151</v>
      </c>
      <c r="I311">
        <v>9626.6438109999999</v>
      </c>
      <c r="J311" t="b">
        <v>1</v>
      </c>
      <c r="K311">
        <v>2</v>
      </c>
      <c r="L311" t="b">
        <v>0</v>
      </c>
      <c r="M311">
        <v>8255.1341809999994</v>
      </c>
      <c r="N311">
        <v>1632</v>
      </c>
      <c r="O311">
        <v>7306</v>
      </c>
      <c r="P311" t="s">
        <v>27</v>
      </c>
      <c r="Q311">
        <v>0.20833333333333334</v>
      </c>
      <c r="R311" t="s">
        <v>40</v>
      </c>
      <c r="S311">
        <v>28.31365826764706</v>
      </c>
      <c r="T311">
        <v>0.22337804544210238</v>
      </c>
      <c r="U311" t="s">
        <v>34</v>
      </c>
      <c r="V311">
        <v>0</v>
      </c>
    </row>
    <row r="312" spans="1:22" x14ac:dyDescent="0.3">
      <c r="A312" s="1">
        <v>44767</v>
      </c>
      <c r="B312" t="s">
        <v>22</v>
      </c>
      <c r="C312" t="s">
        <v>41</v>
      </c>
      <c r="D312" t="s">
        <v>32</v>
      </c>
      <c r="E312" t="s">
        <v>33</v>
      </c>
      <c r="F312" t="s">
        <v>26</v>
      </c>
      <c r="G312">
        <v>238</v>
      </c>
      <c r="H312">
        <v>1113</v>
      </c>
      <c r="I312">
        <v>8353.1553810000005</v>
      </c>
      <c r="J312" t="b">
        <v>1</v>
      </c>
      <c r="K312">
        <v>4</v>
      </c>
      <c r="L312" t="b">
        <v>0</v>
      </c>
      <c r="M312">
        <v>29308.517820000001</v>
      </c>
      <c r="N312">
        <v>1891</v>
      </c>
      <c r="O312">
        <v>7961</v>
      </c>
      <c r="P312" t="s">
        <v>36</v>
      </c>
      <c r="Q312">
        <v>0.12585933368588048</v>
      </c>
      <c r="R312" t="s">
        <v>40</v>
      </c>
      <c r="S312">
        <v>35.097291516806727</v>
      </c>
      <c r="T312">
        <v>0.23753297324456726</v>
      </c>
      <c r="U312" t="s">
        <v>34</v>
      </c>
      <c r="V312">
        <v>0</v>
      </c>
    </row>
    <row r="313" spans="1:22" x14ac:dyDescent="0.3">
      <c r="A313" s="1">
        <v>44768</v>
      </c>
      <c r="B313" t="s">
        <v>42</v>
      </c>
      <c r="C313" t="s">
        <v>23</v>
      </c>
      <c r="D313" t="s">
        <v>46</v>
      </c>
      <c r="E313" t="s">
        <v>25</v>
      </c>
      <c r="F313" t="s">
        <v>43</v>
      </c>
      <c r="G313">
        <v>506</v>
      </c>
      <c r="H313">
        <v>2669</v>
      </c>
      <c r="I313">
        <v>13637.276529999999</v>
      </c>
      <c r="J313" t="b">
        <v>1</v>
      </c>
      <c r="K313">
        <v>21</v>
      </c>
      <c r="L313" t="b">
        <v>0</v>
      </c>
      <c r="M313">
        <v>20119.031419999999</v>
      </c>
      <c r="N313">
        <v>3585.5</v>
      </c>
      <c r="O313">
        <v>6557</v>
      </c>
      <c r="P313" t="s">
        <v>36</v>
      </c>
      <c r="Q313">
        <v>0.14112397155208478</v>
      </c>
      <c r="R313" t="s">
        <v>37</v>
      </c>
      <c r="S313">
        <v>26.951139387351777</v>
      </c>
      <c r="T313">
        <v>0.54682019216104927</v>
      </c>
      <c r="U313" t="s">
        <v>29</v>
      </c>
      <c r="V313">
        <v>0</v>
      </c>
    </row>
    <row r="314" spans="1:22" x14ac:dyDescent="0.3">
      <c r="A314" s="1">
        <v>44769</v>
      </c>
      <c r="B314" t="s">
        <v>38</v>
      </c>
      <c r="C314" t="s">
        <v>41</v>
      </c>
      <c r="D314" t="s">
        <v>46</v>
      </c>
      <c r="E314" t="s">
        <v>33</v>
      </c>
      <c r="F314" t="s">
        <v>43</v>
      </c>
      <c r="G314">
        <v>227</v>
      </c>
      <c r="H314">
        <v>4502</v>
      </c>
      <c r="I314">
        <v>12802.992039999999</v>
      </c>
      <c r="J314" t="b">
        <v>1</v>
      </c>
      <c r="K314">
        <v>5</v>
      </c>
      <c r="L314" t="b">
        <v>0</v>
      </c>
      <c r="M314">
        <v>4805.3863540000002</v>
      </c>
      <c r="N314">
        <v>4439.5</v>
      </c>
      <c r="O314">
        <v>6317</v>
      </c>
      <c r="P314" t="s">
        <v>27</v>
      </c>
      <c r="Q314">
        <v>5.1131884221196078E-2</v>
      </c>
      <c r="R314" t="s">
        <v>40</v>
      </c>
      <c r="S314">
        <v>56.400845991189421</v>
      </c>
      <c r="T314">
        <v>0.70278613265790724</v>
      </c>
      <c r="U314" t="s">
        <v>29</v>
      </c>
      <c r="V314">
        <v>0</v>
      </c>
    </row>
    <row r="315" spans="1:22" x14ac:dyDescent="0.3">
      <c r="A315" s="1">
        <v>44770</v>
      </c>
      <c r="B315" t="s">
        <v>22</v>
      </c>
      <c r="C315" t="s">
        <v>44</v>
      </c>
      <c r="D315" t="s">
        <v>46</v>
      </c>
      <c r="E315" t="s">
        <v>25</v>
      </c>
      <c r="F315" t="s">
        <v>26</v>
      </c>
      <c r="G315">
        <v>527</v>
      </c>
      <c r="H315">
        <v>4377</v>
      </c>
      <c r="I315">
        <v>3531.3428669999998</v>
      </c>
      <c r="J315" t="b">
        <v>1</v>
      </c>
      <c r="K315">
        <v>6</v>
      </c>
      <c r="L315" t="b">
        <v>1</v>
      </c>
      <c r="M315">
        <v>57739.978170000002</v>
      </c>
      <c r="N315">
        <v>4071.5</v>
      </c>
      <c r="O315">
        <v>7970</v>
      </c>
      <c r="P315" t="s">
        <v>27</v>
      </c>
      <c r="Q315">
        <v>0.12943632567849686</v>
      </c>
      <c r="R315" t="s">
        <v>40</v>
      </c>
      <c r="S315">
        <v>6.700840354838709</v>
      </c>
      <c r="T315">
        <v>0.51085319949811792</v>
      </c>
      <c r="U315" t="s">
        <v>29</v>
      </c>
      <c r="V315">
        <v>1</v>
      </c>
    </row>
    <row r="316" spans="1:22" x14ac:dyDescent="0.3">
      <c r="A316" s="1">
        <v>44771</v>
      </c>
      <c r="B316" t="s">
        <v>22</v>
      </c>
      <c r="C316" t="s">
        <v>41</v>
      </c>
      <c r="D316" t="s">
        <v>32</v>
      </c>
      <c r="E316" t="s">
        <v>25</v>
      </c>
      <c r="F316" t="s">
        <v>26</v>
      </c>
      <c r="G316">
        <v>120</v>
      </c>
      <c r="H316">
        <v>3766</v>
      </c>
      <c r="I316">
        <v>5012.3236980000001</v>
      </c>
      <c r="J316" t="b">
        <v>1</v>
      </c>
      <c r="K316">
        <v>16</v>
      </c>
      <c r="L316" t="b">
        <v>0</v>
      </c>
      <c r="M316">
        <v>22555.734759999999</v>
      </c>
      <c r="N316">
        <v>2043</v>
      </c>
      <c r="O316">
        <v>7443</v>
      </c>
      <c r="P316" t="s">
        <v>27</v>
      </c>
      <c r="Q316">
        <v>5.8737151248164463E-2</v>
      </c>
      <c r="R316" t="s">
        <v>37</v>
      </c>
      <c r="S316">
        <v>41.769364150000001</v>
      </c>
      <c r="T316">
        <v>0.27448609431680776</v>
      </c>
      <c r="U316" t="s">
        <v>34</v>
      </c>
      <c r="V316">
        <v>0</v>
      </c>
    </row>
    <row r="317" spans="1:22" x14ac:dyDescent="0.3">
      <c r="A317" s="1">
        <v>44772</v>
      </c>
      <c r="B317" t="s">
        <v>42</v>
      </c>
      <c r="C317" t="s">
        <v>41</v>
      </c>
      <c r="D317" t="s">
        <v>24</v>
      </c>
      <c r="E317" t="s">
        <v>45</v>
      </c>
      <c r="F317" t="s">
        <v>43</v>
      </c>
      <c r="G317">
        <v>562</v>
      </c>
      <c r="H317">
        <v>320</v>
      </c>
      <c r="I317">
        <v>13834.706169999999</v>
      </c>
      <c r="J317" t="b">
        <v>1</v>
      </c>
      <c r="K317">
        <v>20</v>
      </c>
      <c r="L317" t="b">
        <v>0</v>
      </c>
      <c r="M317">
        <v>103420.57460000001</v>
      </c>
      <c r="N317">
        <v>1433</v>
      </c>
      <c r="O317">
        <v>8370</v>
      </c>
      <c r="P317" t="s">
        <v>36</v>
      </c>
      <c r="Q317">
        <v>0.39218422889043963</v>
      </c>
      <c r="R317" t="s">
        <v>37</v>
      </c>
      <c r="S317">
        <v>24.616914893238434</v>
      </c>
      <c r="T317">
        <v>0.17120669056152926</v>
      </c>
      <c r="U317" t="s">
        <v>34</v>
      </c>
      <c r="V317">
        <v>0</v>
      </c>
    </row>
    <row r="318" spans="1:22" x14ac:dyDescent="0.3">
      <c r="A318" s="1">
        <v>44773</v>
      </c>
      <c r="B318" t="s">
        <v>42</v>
      </c>
      <c r="C318" t="s">
        <v>44</v>
      </c>
      <c r="D318" t="s">
        <v>46</v>
      </c>
      <c r="E318" t="s">
        <v>33</v>
      </c>
      <c r="F318" t="s">
        <v>43</v>
      </c>
      <c r="G318">
        <v>309</v>
      </c>
      <c r="H318">
        <v>2546</v>
      </c>
      <c r="I318">
        <v>14347.832329999999</v>
      </c>
      <c r="J318" t="b">
        <v>1</v>
      </c>
      <c r="K318">
        <v>16</v>
      </c>
      <c r="L318" t="b">
        <v>0</v>
      </c>
      <c r="M318">
        <v>17981.472880000001</v>
      </c>
      <c r="N318">
        <v>1650</v>
      </c>
      <c r="O318">
        <v>7630</v>
      </c>
      <c r="P318" t="s">
        <v>27</v>
      </c>
      <c r="Q318">
        <v>0.18727272727272729</v>
      </c>
      <c r="R318" t="s">
        <v>37</v>
      </c>
      <c r="S318">
        <v>46.433114336569574</v>
      </c>
      <c r="T318">
        <v>0.21625163826998689</v>
      </c>
      <c r="U318" t="s">
        <v>34</v>
      </c>
      <c r="V318">
        <v>0</v>
      </c>
    </row>
    <row r="319" spans="1:22" x14ac:dyDescent="0.3">
      <c r="A319" s="1">
        <v>44774</v>
      </c>
      <c r="B319" t="s">
        <v>30</v>
      </c>
      <c r="C319" t="s">
        <v>41</v>
      </c>
      <c r="D319" t="s">
        <v>24</v>
      </c>
      <c r="E319" t="s">
        <v>45</v>
      </c>
      <c r="F319" t="s">
        <v>26</v>
      </c>
      <c r="G319">
        <v>779</v>
      </c>
      <c r="H319">
        <v>754</v>
      </c>
      <c r="I319">
        <v>6988.7535930000004</v>
      </c>
      <c r="J319" t="b">
        <v>1</v>
      </c>
      <c r="K319">
        <v>25</v>
      </c>
      <c r="L319" t="b">
        <v>0</v>
      </c>
      <c r="M319">
        <v>71276.408209999994</v>
      </c>
      <c r="N319">
        <v>2255.5</v>
      </c>
      <c r="O319">
        <v>7310</v>
      </c>
      <c r="P319" t="s">
        <v>36</v>
      </c>
      <c r="Q319">
        <v>0.34537796497450673</v>
      </c>
      <c r="R319" t="s">
        <v>37</v>
      </c>
      <c r="S319">
        <v>8.9714423530166894</v>
      </c>
      <c r="T319">
        <v>0.30854993160054722</v>
      </c>
      <c r="U319" t="s">
        <v>34</v>
      </c>
      <c r="V319">
        <v>0</v>
      </c>
    </row>
    <row r="320" spans="1:22" x14ac:dyDescent="0.3">
      <c r="A320" s="1">
        <v>44775</v>
      </c>
      <c r="B320" t="s">
        <v>38</v>
      </c>
      <c r="C320" t="s">
        <v>23</v>
      </c>
      <c r="D320" t="s">
        <v>24</v>
      </c>
      <c r="E320" t="s">
        <v>45</v>
      </c>
      <c r="F320" t="s">
        <v>26</v>
      </c>
      <c r="G320">
        <v>551</v>
      </c>
      <c r="H320">
        <v>3757</v>
      </c>
      <c r="I320">
        <v>6978.3633090000003</v>
      </c>
      <c r="J320" t="b">
        <v>1</v>
      </c>
      <c r="K320">
        <v>24</v>
      </c>
      <c r="L320" t="b">
        <v>0</v>
      </c>
      <c r="M320">
        <v>90463.997560000003</v>
      </c>
      <c r="N320">
        <v>2312</v>
      </c>
      <c r="O320">
        <v>7442</v>
      </c>
      <c r="P320" t="s">
        <v>27</v>
      </c>
      <c r="Q320">
        <v>0.23832179930795847</v>
      </c>
      <c r="R320" t="s">
        <v>37</v>
      </c>
      <c r="S320">
        <v>12.66490618693285</v>
      </c>
      <c r="T320">
        <v>0.31066917495296964</v>
      </c>
      <c r="U320" t="s">
        <v>34</v>
      </c>
      <c r="V320">
        <v>0</v>
      </c>
    </row>
    <row r="321" spans="1:22" x14ac:dyDescent="0.3">
      <c r="A321" s="1">
        <v>44776</v>
      </c>
      <c r="B321" t="s">
        <v>22</v>
      </c>
      <c r="C321" t="s">
        <v>41</v>
      </c>
      <c r="D321" t="s">
        <v>32</v>
      </c>
      <c r="E321" t="s">
        <v>45</v>
      </c>
      <c r="F321" t="s">
        <v>26</v>
      </c>
      <c r="G321">
        <v>476</v>
      </c>
      <c r="H321">
        <v>867</v>
      </c>
      <c r="I321">
        <v>11750.1482</v>
      </c>
      <c r="J321" t="b">
        <v>1</v>
      </c>
      <c r="K321">
        <v>25</v>
      </c>
      <c r="L321" t="b">
        <v>0</v>
      </c>
      <c r="M321">
        <v>60424.327250000002</v>
      </c>
      <c r="N321">
        <v>2069.5</v>
      </c>
      <c r="O321">
        <v>7959</v>
      </c>
      <c r="P321" t="s">
        <v>36</v>
      </c>
      <c r="Q321">
        <v>0.23000724812756704</v>
      </c>
      <c r="R321" t="s">
        <v>37</v>
      </c>
      <c r="S321">
        <v>24.685185294117645</v>
      </c>
      <c r="T321">
        <v>0.26002010302801859</v>
      </c>
      <c r="U321" t="s">
        <v>34</v>
      </c>
      <c r="V321">
        <v>0</v>
      </c>
    </row>
    <row r="322" spans="1:22" x14ac:dyDescent="0.3">
      <c r="A322" s="1">
        <v>44777</v>
      </c>
      <c r="B322" t="s">
        <v>22</v>
      </c>
      <c r="C322" t="s">
        <v>23</v>
      </c>
      <c r="D322" t="s">
        <v>32</v>
      </c>
      <c r="E322" t="s">
        <v>45</v>
      </c>
      <c r="F322" t="s">
        <v>26</v>
      </c>
      <c r="G322">
        <v>693</v>
      </c>
      <c r="H322">
        <v>3272</v>
      </c>
      <c r="I322">
        <v>2657.726361</v>
      </c>
      <c r="J322" t="b">
        <v>1</v>
      </c>
      <c r="K322">
        <v>25</v>
      </c>
      <c r="L322" t="b">
        <v>1</v>
      </c>
      <c r="M322">
        <v>129927.7748</v>
      </c>
      <c r="N322">
        <v>2297.5</v>
      </c>
      <c r="O322">
        <v>9369</v>
      </c>
      <c r="P322" t="s">
        <v>27</v>
      </c>
      <c r="Q322">
        <v>0.30163220892274212</v>
      </c>
      <c r="R322" t="s">
        <v>37</v>
      </c>
      <c r="S322">
        <v>3.8351029740259741</v>
      </c>
      <c r="T322">
        <v>0.2452236097769239</v>
      </c>
      <c r="U322" t="s">
        <v>34</v>
      </c>
      <c r="V322">
        <v>1</v>
      </c>
    </row>
    <row r="323" spans="1:22" x14ac:dyDescent="0.3">
      <c r="A323" s="1">
        <v>44778</v>
      </c>
      <c r="B323" t="s">
        <v>22</v>
      </c>
      <c r="C323" t="s">
        <v>31</v>
      </c>
      <c r="D323" t="s">
        <v>32</v>
      </c>
      <c r="E323" t="s">
        <v>45</v>
      </c>
      <c r="F323" t="s">
        <v>26</v>
      </c>
      <c r="G323">
        <v>962</v>
      </c>
      <c r="H323">
        <v>1323</v>
      </c>
      <c r="I323">
        <v>646.65925909999999</v>
      </c>
      <c r="J323" t="b">
        <v>1</v>
      </c>
      <c r="K323">
        <v>27</v>
      </c>
      <c r="L323" t="b">
        <v>1</v>
      </c>
      <c r="M323">
        <v>63639.192490000001</v>
      </c>
      <c r="N323">
        <v>2531</v>
      </c>
      <c r="O323">
        <v>8544</v>
      </c>
      <c r="P323" t="s">
        <v>36</v>
      </c>
      <c r="Q323">
        <v>0.38008692216515211</v>
      </c>
      <c r="R323" t="s">
        <v>37</v>
      </c>
      <c r="S323">
        <v>0.67220297203742208</v>
      </c>
      <c r="T323">
        <v>0.29623127340823968</v>
      </c>
      <c r="U323" t="s">
        <v>34</v>
      </c>
      <c r="V323">
        <v>1</v>
      </c>
    </row>
    <row r="324" spans="1:22" x14ac:dyDescent="0.3">
      <c r="A324" s="1">
        <v>44779</v>
      </c>
      <c r="B324" t="s">
        <v>38</v>
      </c>
      <c r="C324" t="s">
        <v>31</v>
      </c>
      <c r="D324" t="s">
        <v>32</v>
      </c>
      <c r="E324" t="s">
        <v>33</v>
      </c>
      <c r="F324" t="s">
        <v>26</v>
      </c>
      <c r="G324">
        <v>565</v>
      </c>
      <c r="H324">
        <v>3739</v>
      </c>
      <c r="I324">
        <v>3042.3465000000001</v>
      </c>
      <c r="J324" t="b">
        <v>1</v>
      </c>
      <c r="K324">
        <v>6</v>
      </c>
      <c r="L324" t="b">
        <v>0</v>
      </c>
      <c r="M324">
        <v>101900.15330000001</v>
      </c>
      <c r="N324">
        <v>4002.5</v>
      </c>
      <c r="O324">
        <v>5008</v>
      </c>
      <c r="P324" t="s">
        <v>36</v>
      </c>
      <c r="Q324">
        <v>0.14116177389131793</v>
      </c>
      <c r="R324" t="s">
        <v>40</v>
      </c>
      <c r="S324">
        <v>5.3846840707964603</v>
      </c>
      <c r="T324">
        <v>0.79922124600638977</v>
      </c>
      <c r="U324" t="s">
        <v>29</v>
      </c>
      <c r="V324">
        <v>0</v>
      </c>
    </row>
    <row r="325" spans="1:22" x14ac:dyDescent="0.3">
      <c r="A325" s="1">
        <v>44780</v>
      </c>
      <c r="B325" t="s">
        <v>38</v>
      </c>
      <c r="C325" t="s">
        <v>23</v>
      </c>
      <c r="D325" t="s">
        <v>24</v>
      </c>
      <c r="E325" t="s">
        <v>33</v>
      </c>
      <c r="F325" t="s">
        <v>26</v>
      </c>
      <c r="G325">
        <v>979</v>
      </c>
      <c r="H325">
        <v>4266</v>
      </c>
      <c r="I325">
        <v>14990.376060000001</v>
      </c>
      <c r="J325" t="b">
        <v>1</v>
      </c>
      <c r="K325">
        <v>29</v>
      </c>
      <c r="L325" t="b">
        <v>1</v>
      </c>
      <c r="M325">
        <v>136976.52350000001</v>
      </c>
      <c r="N325">
        <v>2455</v>
      </c>
      <c r="O325">
        <v>8873</v>
      </c>
      <c r="P325" t="s">
        <v>27</v>
      </c>
      <c r="Q325">
        <v>0.39877800407331976</v>
      </c>
      <c r="R325" t="s">
        <v>37</v>
      </c>
      <c r="S325">
        <v>15.311926516853934</v>
      </c>
      <c r="T325">
        <v>0.27668206919869265</v>
      </c>
      <c r="U325" t="s">
        <v>34</v>
      </c>
      <c r="V325">
        <v>1</v>
      </c>
    </row>
    <row r="326" spans="1:22" x14ac:dyDescent="0.3">
      <c r="A326" s="1">
        <v>44781</v>
      </c>
      <c r="B326" t="s">
        <v>30</v>
      </c>
      <c r="C326" t="s">
        <v>31</v>
      </c>
      <c r="D326" t="s">
        <v>46</v>
      </c>
      <c r="E326" t="s">
        <v>25</v>
      </c>
      <c r="F326" t="s">
        <v>26</v>
      </c>
      <c r="G326">
        <v>237</v>
      </c>
      <c r="H326">
        <v>644</v>
      </c>
      <c r="I326">
        <v>4389.630204</v>
      </c>
      <c r="J326" t="b">
        <v>1</v>
      </c>
      <c r="K326">
        <v>21</v>
      </c>
      <c r="L326" t="b">
        <v>0</v>
      </c>
      <c r="M326">
        <v>17808.65958</v>
      </c>
      <c r="N326">
        <v>974</v>
      </c>
      <c r="O326">
        <v>8552</v>
      </c>
      <c r="P326" t="s">
        <v>36</v>
      </c>
      <c r="Q326">
        <v>0.2433264887063655</v>
      </c>
      <c r="R326" t="s">
        <v>37</v>
      </c>
      <c r="S326">
        <v>18.521646430379747</v>
      </c>
      <c r="T326">
        <v>0.11389148737137511</v>
      </c>
      <c r="U326" t="s">
        <v>34</v>
      </c>
      <c r="V326">
        <v>0</v>
      </c>
    </row>
    <row r="327" spans="1:22" x14ac:dyDescent="0.3">
      <c r="A327" s="1">
        <v>44782</v>
      </c>
      <c r="B327" t="s">
        <v>38</v>
      </c>
      <c r="C327" t="s">
        <v>31</v>
      </c>
      <c r="D327" t="s">
        <v>32</v>
      </c>
      <c r="E327" t="s">
        <v>45</v>
      </c>
      <c r="F327" t="s">
        <v>39</v>
      </c>
      <c r="G327">
        <v>998</v>
      </c>
      <c r="H327">
        <v>1304</v>
      </c>
      <c r="I327">
        <v>10619.033729999999</v>
      </c>
      <c r="J327" t="b">
        <v>0</v>
      </c>
      <c r="K327">
        <v>9</v>
      </c>
      <c r="L327" t="b">
        <v>1</v>
      </c>
      <c r="M327">
        <v>24301.962060000002</v>
      </c>
      <c r="N327">
        <v>2143.5</v>
      </c>
      <c r="O327">
        <v>7348</v>
      </c>
      <c r="P327" t="s">
        <v>36</v>
      </c>
      <c r="Q327">
        <v>0.46559365523676233</v>
      </c>
      <c r="R327" t="s">
        <v>28</v>
      </c>
      <c r="S327">
        <v>10.640314358717434</v>
      </c>
      <c r="T327">
        <v>0.29171203048448557</v>
      </c>
      <c r="U327" t="s">
        <v>34</v>
      </c>
      <c r="V327">
        <v>1</v>
      </c>
    </row>
    <row r="328" spans="1:22" x14ac:dyDescent="0.3">
      <c r="A328" s="1">
        <v>44783</v>
      </c>
      <c r="B328" t="s">
        <v>22</v>
      </c>
      <c r="C328" t="s">
        <v>44</v>
      </c>
      <c r="D328" t="s">
        <v>35</v>
      </c>
      <c r="E328" t="s">
        <v>45</v>
      </c>
      <c r="F328" t="s">
        <v>26</v>
      </c>
      <c r="G328">
        <v>797</v>
      </c>
      <c r="H328">
        <v>2983</v>
      </c>
      <c r="I328">
        <v>6504.9069609999997</v>
      </c>
      <c r="J328" t="b">
        <v>1</v>
      </c>
      <c r="K328">
        <v>11</v>
      </c>
      <c r="L328" t="b">
        <v>0</v>
      </c>
      <c r="M328">
        <v>154072.23050000001</v>
      </c>
      <c r="N328">
        <v>1752</v>
      </c>
      <c r="O328">
        <v>8041</v>
      </c>
      <c r="P328" t="s">
        <v>27</v>
      </c>
      <c r="Q328">
        <v>0.45490867579908678</v>
      </c>
      <c r="R328" t="s">
        <v>28</v>
      </c>
      <c r="S328">
        <v>8.1617402271016299</v>
      </c>
      <c r="T328">
        <v>0.21788334784230817</v>
      </c>
      <c r="U328" t="s">
        <v>34</v>
      </c>
      <c r="V328">
        <v>0</v>
      </c>
    </row>
    <row r="329" spans="1:22" x14ac:dyDescent="0.3">
      <c r="A329" s="1">
        <v>44784</v>
      </c>
      <c r="B329" t="s">
        <v>38</v>
      </c>
      <c r="C329" t="s">
        <v>23</v>
      </c>
      <c r="D329" t="s">
        <v>32</v>
      </c>
      <c r="E329" t="s">
        <v>25</v>
      </c>
      <c r="F329" t="s">
        <v>26</v>
      </c>
      <c r="G329">
        <v>562</v>
      </c>
      <c r="H329">
        <v>521</v>
      </c>
      <c r="I329">
        <v>13088.944600000001</v>
      </c>
      <c r="J329" t="b">
        <v>1</v>
      </c>
      <c r="K329">
        <v>19</v>
      </c>
      <c r="L329" t="b">
        <v>1</v>
      </c>
      <c r="M329">
        <v>53458.91562</v>
      </c>
      <c r="N329">
        <v>843</v>
      </c>
      <c r="O329">
        <v>8204</v>
      </c>
      <c r="P329" t="s">
        <v>36</v>
      </c>
      <c r="Q329">
        <v>0.66666666666666663</v>
      </c>
      <c r="R329" t="s">
        <v>37</v>
      </c>
      <c r="S329">
        <v>23.289937010676159</v>
      </c>
      <c r="T329">
        <v>0.10275475377864457</v>
      </c>
      <c r="U329" t="s">
        <v>34</v>
      </c>
      <c r="V329">
        <v>1</v>
      </c>
    </row>
    <row r="330" spans="1:22" x14ac:dyDescent="0.3">
      <c r="A330" s="1">
        <v>44785</v>
      </c>
      <c r="B330" t="s">
        <v>42</v>
      </c>
      <c r="C330" t="s">
        <v>31</v>
      </c>
      <c r="D330" t="s">
        <v>35</v>
      </c>
      <c r="E330" t="s">
        <v>25</v>
      </c>
      <c r="F330" t="s">
        <v>26</v>
      </c>
      <c r="G330">
        <v>722</v>
      </c>
      <c r="H330">
        <v>1165</v>
      </c>
      <c r="I330">
        <v>12466.105670000001</v>
      </c>
      <c r="J330" t="b">
        <v>0</v>
      </c>
      <c r="K330">
        <v>6</v>
      </c>
      <c r="L330" t="b">
        <v>1</v>
      </c>
      <c r="M330">
        <v>134443.07149999999</v>
      </c>
      <c r="N330">
        <v>1951</v>
      </c>
      <c r="O330">
        <v>7703</v>
      </c>
      <c r="P330" t="s">
        <v>36</v>
      </c>
      <c r="Q330">
        <v>0.37006663249615585</v>
      </c>
      <c r="R330" t="s">
        <v>40</v>
      </c>
      <c r="S330">
        <v>17.266074335180058</v>
      </c>
      <c r="T330">
        <v>0.25327794365831496</v>
      </c>
      <c r="U330" t="s">
        <v>34</v>
      </c>
      <c r="V330">
        <v>1</v>
      </c>
    </row>
    <row r="331" spans="1:22" x14ac:dyDescent="0.3">
      <c r="A331" s="1">
        <v>44786</v>
      </c>
      <c r="B331" t="s">
        <v>22</v>
      </c>
      <c r="C331" t="s">
        <v>41</v>
      </c>
      <c r="D331" t="s">
        <v>24</v>
      </c>
      <c r="E331" t="s">
        <v>25</v>
      </c>
      <c r="F331" t="s">
        <v>26</v>
      </c>
      <c r="G331">
        <v>869</v>
      </c>
      <c r="H331">
        <v>2737</v>
      </c>
      <c r="I331">
        <v>12183.57682</v>
      </c>
      <c r="J331" t="b">
        <v>1</v>
      </c>
      <c r="K331">
        <v>12</v>
      </c>
      <c r="L331" t="b">
        <v>0</v>
      </c>
      <c r="M331">
        <v>68251.098750000005</v>
      </c>
      <c r="N331">
        <v>1703</v>
      </c>
      <c r="O331">
        <v>8088</v>
      </c>
      <c r="P331" t="s">
        <v>27</v>
      </c>
      <c r="Q331">
        <v>0.51027598355842629</v>
      </c>
      <c r="R331" t="s">
        <v>28</v>
      </c>
      <c r="S331">
        <v>14.020226490218642</v>
      </c>
      <c r="T331">
        <v>0.21055885262116716</v>
      </c>
      <c r="U331" t="s">
        <v>34</v>
      </c>
      <c r="V331">
        <v>0</v>
      </c>
    </row>
    <row r="332" spans="1:22" x14ac:dyDescent="0.3">
      <c r="A332" s="1">
        <v>44787</v>
      </c>
      <c r="B332" t="s">
        <v>38</v>
      </c>
      <c r="C332" t="s">
        <v>31</v>
      </c>
      <c r="D332" t="s">
        <v>46</v>
      </c>
      <c r="E332" t="s">
        <v>45</v>
      </c>
      <c r="F332" t="s">
        <v>26</v>
      </c>
      <c r="G332">
        <v>791</v>
      </c>
      <c r="H332">
        <v>669</v>
      </c>
      <c r="I332">
        <v>9713.7048500000001</v>
      </c>
      <c r="J332" t="b">
        <v>1</v>
      </c>
      <c r="K332">
        <v>17</v>
      </c>
      <c r="L332" t="b">
        <v>1</v>
      </c>
      <c r="M332">
        <v>63594.319349999998</v>
      </c>
      <c r="N332">
        <v>1592</v>
      </c>
      <c r="O332">
        <v>7078</v>
      </c>
      <c r="P332" t="s">
        <v>36</v>
      </c>
      <c r="Q332">
        <v>0.49685929648241206</v>
      </c>
      <c r="R332" t="s">
        <v>37</v>
      </c>
      <c r="S332">
        <v>12.280284260429836</v>
      </c>
      <c r="T332">
        <v>0.22492229443345577</v>
      </c>
      <c r="U332" t="s">
        <v>34</v>
      </c>
      <c r="V332">
        <v>1</v>
      </c>
    </row>
    <row r="333" spans="1:22" x14ac:dyDescent="0.3">
      <c r="A333" s="1">
        <v>44788</v>
      </c>
      <c r="B333" t="s">
        <v>30</v>
      </c>
      <c r="C333" t="s">
        <v>44</v>
      </c>
      <c r="D333" t="s">
        <v>32</v>
      </c>
      <c r="E333" t="s">
        <v>25</v>
      </c>
      <c r="F333" t="s">
        <v>26</v>
      </c>
      <c r="G333">
        <v>355</v>
      </c>
      <c r="H333">
        <v>2515</v>
      </c>
      <c r="I333">
        <v>10244.286550000001</v>
      </c>
      <c r="J333" t="b">
        <v>1</v>
      </c>
      <c r="K333">
        <v>10</v>
      </c>
      <c r="L333" t="b">
        <v>0</v>
      </c>
      <c r="M333">
        <v>67731.249079999994</v>
      </c>
      <c r="N333">
        <v>2001.5</v>
      </c>
      <c r="O333">
        <v>8400</v>
      </c>
      <c r="P333" t="s">
        <v>27</v>
      </c>
      <c r="Q333">
        <v>0.1773669747689233</v>
      </c>
      <c r="R333" t="s">
        <v>28</v>
      </c>
      <c r="S333">
        <v>28.857145211267607</v>
      </c>
      <c r="T333">
        <v>0.23827380952380953</v>
      </c>
      <c r="U333" t="s">
        <v>34</v>
      </c>
      <c r="V333">
        <v>0</v>
      </c>
    </row>
    <row r="334" spans="1:22" x14ac:dyDescent="0.3">
      <c r="A334" s="1">
        <v>44789</v>
      </c>
      <c r="B334" t="s">
        <v>38</v>
      </c>
      <c r="C334" t="s">
        <v>41</v>
      </c>
      <c r="D334" t="s">
        <v>35</v>
      </c>
      <c r="E334" t="s">
        <v>33</v>
      </c>
      <c r="F334" t="s">
        <v>39</v>
      </c>
      <c r="G334">
        <v>430</v>
      </c>
      <c r="H334">
        <v>1488</v>
      </c>
      <c r="I334">
        <v>2025.6835510000001</v>
      </c>
      <c r="J334" t="b">
        <v>1</v>
      </c>
      <c r="K334">
        <v>9</v>
      </c>
      <c r="L334" t="b">
        <v>0</v>
      </c>
      <c r="M334">
        <v>24902.8953</v>
      </c>
      <c r="N334">
        <v>2126.5</v>
      </c>
      <c r="O334">
        <v>8127</v>
      </c>
      <c r="P334" t="s">
        <v>36</v>
      </c>
      <c r="Q334">
        <v>0.202210204561486</v>
      </c>
      <c r="R334" t="s">
        <v>28</v>
      </c>
      <c r="S334">
        <v>4.7108919790697676</v>
      </c>
      <c r="T334">
        <v>0.26165866863541282</v>
      </c>
      <c r="U334" t="s">
        <v>34</v>
      </c>
      <c r="V334">
        <v>0</v>
      </c>
    </row>
    <row r="335" spans="1:22" x14ac:dyDescent="0.3">
      <c r="A335" s="1">
        <v>44790</v>
      </c>
      <c r="B335" t="s">
        <v>22</v>
      </c>
      <c r="C335" t="s">
        <v>23</v>
      </c>
      <c r="D335" t="s">
        <v>32</v>
      </c>
      <c r="E335" t="s">
        <v>45</v>
      </c>
      <c r="F335" t="s">
        <v>43</v>
      </c>
      <c r="G335">
        <v>545</v>
      </c>
      <c r="H335">
        <v>2765</v>
      </c>
      <c r="I335">
        <v>10139.86087</v>
      </c>
      <c r="J335" t="b">
        <v>1</v>
      </c>
      <c r="K335">
        <v>20</v>
      </c>
      <c r="L335" t="b">
        <v>0</v>
      </c>
      <c r="M335">
        <v>66209.112670000002</v>
      </c>
      <c r="N335">
        <v>2366.5</v>
      </c>
      <c r="O335">
        <v>5224</v>
      </c>
      <c r="P335" t="s">
        <v>27</v>
      </c>
      <c r="Q335">
        <v>0.23029790830340166</v>
      </c>
      <c r="R335" t="s">
        <v>37</v>
      </c>
      <c r="S335">
        <v>18.605249302752295</v>
      </c>
      <c r="T335">
        <v>0.45300535987748852</v>
      </c>
      <c r="U335" t="s">
        <v>29</v>
      </c>
      <c r="V335">
        <v>0</v>
      </c>
    </row>
    <row r="336" spans="1:22" x14ac:dyDescent="0.3">
      <c r="A336" s="1">
        <v>44791</v>
      </c>
      <c r="B336" t="s">
        <v>22</v>
      </c>
      <c r="C336" t="s">
        <v>23</v>
      </c>
      <c r="D336" t="s">
        <v>32</v>
      </c>
      <c r="E336" t="s">
        <v>25</v>
      </c>
      <c r="F336" t="s">
        <v>43</v>
      </c>
      <c r="G336">
        <v>440</v>
      </c>
      <c r="H336">
        <v>1968</v>
      </c>
      <c r="I336">
        <v>13554.527470000001</v>
      </c>
      <c r="J336" t="b">
        <v>1</v>
      </c>
      <c r="K336">
        <v>11</v>
      </c>
      <c r="L336" t="b">
        <v>0</v>
      </c>
      <c r="M336">
        <v>13291.008390000001</v>
      </c>
      <c r="N336">
        <v>1472.5</v>
      </c>
      <c r="O336">
        <v>6625</v>
      </c>
      <c r="P336" t="s">
        <v>27</v>
      </c>
      <c r="Q336">
        <v>0.29881154499151102</v>
      </c>
      <c r="R336" t="s">
        <v>28</v>
      </c>
      <c r="S336">
        <v>30.805744250000004</v>
      </c>
      <c r="T336">
        <v>0.22226415094339622</v>
      </c>
      <c r="U336" t="s">
        <v>34</v>
      </c>
      <c r="V336">
        <v>0</v>
      </c>
    </row>
    <row r="337" spans="1:22" x14ac:dyDescent="0.3">
      <c r="A337" s="1">
        <v>44792</v>
      </c>
      <c r="B337" t="s">
        <v>42</v>
      </c>
      <c r="C337" t="s">
        <v>31</v>
      </c>
      <c r="D337" t="s">
        <v>32</v>
      </c>
      <c r="E337" t="s">
        <v>33</v>
      </c>
      <c r="F337" t="s">
        <v>26</v>
      </c>
      <c r="G337">
        <v>490</v>
      </c>
      <c r="H337">
        <v>977</v>
      </c>
      <c r="I337">
        <v>11555.44557</v>
      </c>
      <c r="J337" t="b">
        <v>1</v>
      </c>
      <c r="K337">
        <v>16</v>
      </c>
      <c r="L337" t="b">
        <v>0</v>
      </c>
      <c r="M337">
        <v>69788.598740000001</v>
      </c>
      <c r="N337">
        <v>1803</v>
      </c>
      <c r="O337">
        <v>9419</v>
      </c>
      <c r="P337" t="s">
        <v>36</v>
      </c>
      <c r="Q337">
        <v>0.27176927343316692</v>
      </c>
      <c r="R337" t="s">
        <v>37</v>
      </c>
      <c r="S337">
        <v>23.582541979591838</v>
      </c>
      <c r="T337">
        <v>0.19142159464911349</v>
      </c>
      <c r="U337" t="s">
        <v>34</v>
      </c>
      <c r="V337">
        <v>0</v>
      </c>
    </row>
    <row r="338" spans="1:22" x14ac:dyDescent="0.3">
      <c r="A338" s="1">
        <v>44793</v>
      </c>
      <c r="B338" t="s">
        <v>38</v>
      </c>
      <c r="C338" t="s">
        <v>23</v>
      </c>
      <c r="D338" t="s">
        <v>32</v>
      </c>
      <c r="E338" t="s">
        <v>25</v>
      </c>
      <c r="F338" t="s">
        <v>26</v>
      </c>
      <c r="G338">
        <v>699</v>
      </c>
      <c r="H338">
        <v>2629</v>
      </c>
      <c r="I338">
        <v>6509.2936810000001</v>
      </c>
      <c r="J338" t="b">
        <v>1</v>
      </c>
      <c r="K338">
        <v>14</v>
      </c>
      <c r="L338" t="b">
        <v>0</v>
      </c>
      <c r="M338">
        <v>37114.931149999997</v>
      </c>
      <c r="N338">
        <v>1462.5</v>
      </c>
      <c r="O338">
        <v>8696</v>
      </c>
      <c r="P338" t="s">
        <v>27</v>
      </c>
      <c r="Q338">
        <v>0.47794871794871796</v>
      </c>
      <c r="R338" t="s">
        <v>28</v>
      </c>
      <c r="S338">
        <v>9.3122942503576542</v>
      </c>
      <c r="T338">
        <v>0.16818077276908924</v>
      </c>
      <c r="U338" t="s">
        <v>34</v>
      </c>
      <c r="V338">
        <v>0</v>
      </c>
    </row>
    <row r="339" spans="1:22" x14ac:dyDescent="0.3">
      <c r="A339" s="1">
        <v>44794</v>
      </c>
      <c r="B339" t="s">
        <v>38</v>
      </c>
      <c r="C339" t="s">
        <v>31</v>
      </c>
      <c r="D339" t="s">
        <v>24</v>
      </c>
      <c r="E339" t="s">
        <v>45</v>
      </c>
      <c r="F339" t="s">
        <v>43</v>
      </c>
      <c r="G339">
        <v>379</v>
      </c>
      <c r="H339">
        <v>296</v>
      </c>
      <c r="I339">
        <v>2322.7356439999999</v>
      </c>
      <c r="J339" t="b">
        <v>1</v>
      </c>
      <c r="K339">
        <v>21</v>
      </c>
      <c r="L339" t="b">
        <v>0</v>
      </c>
      <c r="M339">
        <v>30414.7817</v>
      </c>
      <c r="N339">
        <v>247</v>
      </c>
      <c r="O339">
        <v>9044</v>
      </c>
      <c r="P339" t="s">
        <v>27</v>
      </c>
      <c r="Q339">
        <v>1.534412955465587</v>
      </c>
      <c r="R339" t="s">
        <v>37</v>
      </c>
      <c r="S339">
        <v>6.1285900897097623</v>
      </c>
      <c r="T339">
        <v>2.7310924369747899E-2</v>
      </c>
      <c r="U339" t="s">
        <v>34</v>
      </c>
      <c r="V339">
        <v>0</v>
      </c>
    </row>
    <row r="340" spans="1:22" x14ac:dyDescent="0.3">
      <c r="A340" s="1">
        <v>44795</v>
      </c>
      <c r="B340" t="s">
        <v>22</v>
      </c>
      <c r="C340" t="s">
        <v>44</v>
      </c>
      <c r="D340" t="s">
        <v>32</v>
      </c>
      <c r="E340" t="s">
        <v>33</v>
      </c>
      <c r="F340" t="s">
        <v>26</v>
      </c>
      <c r="G340">
        <v>218</v>
      </c>
      <c r="H340">
        <v>198</v>
      </c>
      <c r="I340">
        <v>1868.7634009999999</v>
      </c>
      <c r="J340" t="b">
        <v>1</v>
      </c>
      <c r="K340">
        <v>12</v>
      </c>
      <c r="L340" t="b">
        <v>0</v>
      </c>
      <c r="M340">
        <v>5061.3573500000002</v>
      </c>
      <c r="N340">
        <v>1840.5</v>
      </c>
      <c r="O340">
        <v>6231</v>
      </c>
      <c r="P340" t="s">
        <v>36</v>
      </c>
      <c r="Q340">
        <v>0.11844607443629449</v>
      </c>
      <c r="R340" t="s">
        <v>28</v>
      </c>
      <c r="S340">
        <v>8.5723091788990828</v>
      </c>
      <c r="T340">
        <v>0.29537794896485314</v>
      </c>
      <c r="U340" t="s">
        <v>34</v>
      </c>
      <c r="V340">
        <v>0</v>
      </c>
    </row>
    <row r="341" spans="1:22" x14ac:dyDescent="0.3">
      <c r="A341" s="1">
        <v>44796</v>
      </c>
      <c r="B341" t="s">
        <v>42</v>
      </c>
      <c r="C341" t="s">
        <v>41</v>
      </c>
      <c r="D341" t="s">
        <v>32</v>
      </c>
      <c r="E341" t="s">
        <v>45</v>
      </c>
      <c r="F341" t="s">
        <v>26</v>
      </c>
      <c r="G341">
        <v>771</v>
      </c>
      <c r="H341">
        <v>3483</v>
      </c>
      <c r="I341">
        <v>6611.9121459999997</v>
      </c>
      <c r="J341" t="b">
        <v>1</v>
      </c>
      <c r="K341">
        <v>2</v>
      </c>
      <c r="L341" t="b">
        <v>0</v>
      </c>
      <c r="M341">
        <v>84193.218710000001</v>
      </c>
      <c r="N341">
        <v>3981</v>
      </c>
      <c r="O341">
        <v>9565</v>
      </c>
      <c r="P341" t="s">
        <v>36</v>
      </c>
      <c r="Q341">
        <v>0.19366993217784476</v>
      </c>
      <c r="R341" t="s">
        <v>40</v>
      </c>
      <c r="S341">
        <v>8.5757615382619967</v>
      </c>
      <c r="T341">
        <v>0.41620491374803975</v>
      </c>
      <c r="U341" t="s">
        <v>29</v>
      </c>
      <c r="V341">
        <v>0</v>
      </c>
    </row>
    <row r="342" spans="1:22" x14ac:dyDescent="0.3">
      <c r="A342" s="1">
        <v>44797</v>
      </c>
      <c r="B342" t="s">
        <v>30</v>
      </c>
      <c r="C342" t="s">
        <v>31</v>
      </c>
      <c r="D342" t="s">
        <v>35</v>
      </c>
      <c r="E342" t="s">
        <v>45</v>
      </c>
      <c r="F342" t="s">
        <v>43</v>
      </c>
      <c r="G342">
        <v>898</v>
      </c>
      <c r="H342">
        <v>4479</v>
      </c>
      <c r="I342">
        <v>4375.250935</v>
      </c>
      <c r="J342" t="b">
        <v>1</v>
      </c>
      <c r="K342">
        <v>7</v>
      </c>
      <c r="L342" t="b">
        <v>1</v>
      </c>
      <c r="M342">
        <v>121347.712</v>
      </c>
      <c r="N342">
        <v>4172</v>
      </c>
      <c r="O342">
        <v>8800</v>
      </c>
      <c r="P342" t="s">
        <v>27</v>
      </c>
      <c r="Q342">
        <v>0.2152444870565676</v>
      </c>
      <c r="R342" t="s">
        <v>40</v>
      </c>
      <c r="S342">
        <v>4.8722170768374164</v>
      </c>
      <c r="T342">
        <v>0.47409090909090912</v>
      </c>
      <c r="U342" t="s">
        <v>29</v>
      </c>
      <c r="V342">
        <v>1</v>
      </c>
    </row>
    <row r="343" spans="1:22" x14ac:dyDescent="0.3">
      <c r="A343" s="1">
        <v>44798</v>
      </c>
      <c r="B343" t="s">
        <v>38</v>
      </c>
      <c r="C343" t="s">
        <v>44</v>
      </c>
      <c r="D343" t="s">
        <v>24</v>
      </c>
      <c r="E343" t="s">
        <v>45</v>
      </c>
      <c r="F343" t="s">
        <v>26</v>
      </c>
      <c r="G343">
        <v>327</v>
      </c>
      <c r="H343">
        <v>3865</v>
      </c>
      <c r="I343">
        <v>6102.3379880000002</v>
      </c>
      <c r="J343" t="b">
        <v>1</v>
      </c>
      <c r="K343">
        <v>8</v>
      </c>
      <c r="L343" t="b">
        <v>0</v>
      </c>
      <c r="M343">
        <v>41484.453269999998</v>
      </c>
      <c r="N343">
        <v>3384</v>
      </c>
      <c r="O343">
        <v>6673</v>
      </c>
      <c r="P343" t="s">
        <v>27</v>
      </c>
      <c r="Q343">
        <v>9.6631205673758866E-2</v>
      </c>
      <c r="R343" t="s">
        <v>28</v>
      </c>
      <c r="S343">
        <v>18.661584061162081</v>
      </c>
      <c r="T343">
        <v>0.50711823767420949</v>
      </c>
      <c r="U343" t="s">
        <v>29</v>
      </c>
      <c r="V343">
        <v>0</v>
      </c>
    </row>
    <row r="344" spans="1:22" x14ac:dyDescent="0.3">
      <c r="A344" s="1">
        <v>44799</v>
      </c>
      <c r="B344" t="s">
        <v>30</v>
      </c>
      <c r="C344" t="s">
        <v>31</v>
      </c>
      <c r="D344" t="s">
        <v>46</v>
      </c>
      <c r="E344" t="s">
        <v>25</v>
      </c>
      <c r="F344" t="s">
        <v>26</v>
      </c>
      <c r="G344">
        <v>568</v>
      </c>
      <c r="H344">
        <v>2903</v>
      </c>
      <c r="I344">
        <v>14694.333559999999</v>
      </c>
      <c r="J344" t="b">
        <v>1</v>
      </c>
      <c r="K344">
        <v>12</v>
      </c>
      <c r="L344" t="b">
        <v>0</v>
      </c>
      <c r="M344">
        <v>68930.758969999995</v>
      </c>
      <c r="N344">
        <v>3000</v>
      </c>
      <c r="O344">
        <v>5348</v>
      </c>
      <c r="P344" t="s">
        <v>36</v>
      </c>
      <c r="Q344">
        <v>0.18933333333333333</v>
      </c>
      <c r="R344" t="s">
        <v>28</v>
      </c>
      <c r="S344">
        <v>25.870305563380281</v>
      </c>
      <c r="T344">
        <v>0.56095736724008971</v>
      </c>
      <c r="U344" t="s">
        <v>29</v>
      </c>
      <c r="V344">
        <v>0</v>
      </c>
    </row>
    <row r="345" spans="1:22" x14ac:dyDescent="0.3">
      <c r="A345" s="1">
        <v>44800</v>
      </c>
      <c r="B345" t="s">
        <v>30</v>
      </c>
      <c r="C345" t="s">
        <v>44</v>
      </c>
      <c r="D345" t="s">
        <v>46</v>
      </c>
      <c r="E345" t="s">
        <v>45</v>
      </c>
      <c r="F345" t="s">
        <v>43</v>
      </c>
      <c r="G345">
        <v>539</v>
      </c>
      <c r="H345">
        <v>3097</v>
      </c>
      <c r="I345">
        <v>3943.5476140000001</v>
      </c>
      <c r="J345" t="b">
        <v>1</v>
      </c>
      <c r="K345">
        <v>6</v>
      </c>
      <c r="L345" t="b">
        <v>1</v>
      </c>
      <c r="M345">
        <v>57531.355710000003</v>
      </c>
      <c r="N345">
        <v>3552.5</v>
      </c>
      <c r="O345">
        <v>6004</v>
      </c>
      <c r="P345" t="s">
        <v>36</v>
      </c>
      <c r="Q345">
        <v>0.15172413793103448</v>
      </c>
      <c r="R345" t="s">
        <v>40</v>
      </c>
      <c r="S345">
        <v>7.3164148682745829</v>
      </c>
      <c r="T345">
        <v>0.59168887408394399</v>
      </c>
      <c r="U345" t="s">
        <v>29</v>
      </c>
      <c r="V345">
        <v>1</v>
      </c>
    </row>
    <row r="346" spans="1:22" x14ac:dyDescent="0.3">
      <c r="A346" s="1">
        <v>44801</v>
      </c>
      <c r="B346" t="s">
        <v>22</v>
      </c>
      <c r="C346" t="s">
        <v>31</v>
      </c>
      <c r="D346" t="s">
        <v>46</v>
      </c>
      <c r="E346" t="s">
        <v>45</v>
      </c>
      <c r="F346" t="s">
        <v>26</v>
      </c>
      <c r="G346">
        <v>266</v>
      </c>
      <c r="H346">
        <v>4008</v>
      </c>
      <c r="I346">
        <v>13136.583860000001</v>
      </c>
      <c r="J346" t="b">
        <v>1</v>
      </c>
      <c r="K346">
        <v>15</v>
      </c>
      <c r="L346" t="b">
        <v>0</v>
      </c>
      <c r="M346">
        <v>47350.604200000002</v>
      </c>
      <c r="N346">
        <v>3339.5</v>
      </c>
      <c r="O346">
        <v>8300</v>
      </c>
      <c r="P346" t="s">
        <v>27</v>
      </c>
      <c r="Q346">
        <v>7.9652642611169333E-2</v>
      </c>
      <c r="R346" t="s">
        <v>37</v>
      </c>
      <c r="S346">
        <v>49.385653609022562</v>
      </c>
      <c r="T346">
        <v>0.40234939759036142</v>
      </c>
      <c r="U346" t="s">
        <v>29</v>
      </c>
      <c r="V346">
        <v>0</v>
      </c>
    </row>
    <row r="347" spans="1:22" x14ac:dyDescent="0.3">
      <c r="A347" s="1">
        <v>44802</v>
      </c>
      <c r="B347" t="s">
        <v>30</v>
      </c>
      <c r="C347" t="s">
        <v>31</v>
      </c>
      <c r="D347" t="s">
        <v>32</v>
      </c>
      <c r="E347" t="s">
        <v>45</v>
      </c>
      <c r="F347" t="s">
        <v>26</v>
      </c>
      <c r="G347">
        <v>136</v>
      </c>
      <c r="H347">
        <v>2671</v>
      </c>
      <c r="I347">
        <v>10397.689560000001</v>
      </c>
      <c r="J347" t="b">
        <v>1</v>
      </c>
      <c r="K347">
        <v>16</v>
      </c>
      <c r="L347" t="b">
        <v>0</v>
      </c>
      <c r="M347">
        <v>8226.7770739999996</v>
      </c>
      <c r="N347">
        <v>2263</v>
      </c>
      <c r="O347">
        <v>8323</v>
      </c>
      <c r="P347" t="s">
        <v>27</v>
      </c>
      <c r="Q347">
        <v>6.0097216084843127E-2</v>
      </c>
      <c r="R347" t="s">
        <v>37</v>
      </c>
      <c r="S347">
        <v>76.453599705882354</v>
      </c>
      <c r="T347">
        <v>0.27189715246906165</v>
      </c>
      <c r="U347" t="s">
        <v>34</v>
      </c>
      <c r="V347">
        <v>0</v>
      </c>
    </row>
    <row r="348" spans="1:22" x14ac:dyDescent="0.3">
      <c r="A348" s="1">
        <v>44803</v>
      </c>
      <c r="B348" t="s">
        <v>30</v>
      </c>
      <c r="C348" t="s">
        <v>23</v>
      </c>
      <c r="D348" t="s">
        <v>35</v>
      </c>
      <c r="E348" t="s">
        <v>33</v>
      </c>
      <c r="F348" t="s">
        <v>26</v>
      </c>
      <c r="G348">
        <v>369</v>
      </c>
      <c r="H348">
        <v>1855</v>
      </c>
      <c r="I348">
        <v>5073.5376729999998</v>
      </c>
      <c r="J348" t="b">
        <v>1</v>
      </c>
      <c r="K348">
        <v>1</v>
      </c>
      <c r="L348" t="b">
        <v>0</v>
      </c>
      <c r="M348">
        <v>28702.249779999998</v>
      </c>
      <c r="N348">
        <v>1481</v>
      </c>
      <c r="O348">
        <v>6226</v>
      </c>
      <c r="P348" t="s">
        <v>27</v>
      </c>
      <c r="Q348">
        <v>0.24915597569209993</v>
      </c>
      <c r="R348" t="s">
        <v>40</v>
      </c>
      <c r="S348">
        <v>13.749424588075881</v>
      </c>
      <c r="T348">
        <v>0.2378734339865082</v>
      </c>
      <c r="U348" t="s">
        <v>34</v>
      </c>
      <c r="V348">
        <v>0</v>
      </c>
    </row>
    <row r="349" spans="1:22" x14ac:dyDescent="0.3">
      <c r="A349" s="1">
        <v>44804</v>
      </c>
      <c r="B349" t="s">
        <v>22</v>
      </c>
      <c r="C349" t="s">
        <v>44</v>
      </c>
      <c r="D349" t="s">
        <v>24</v>
      </c>
      <c r="E349" t="s">
        <v>33</v>
      </c>
      <c r="F349" t="s">
        <v>26</v>
      </c>
      <c r="G349">
        <v>471</v>
      </c>
      <c r="H349">
        <v>1107</v>
      </c>
      <c r="I349">
        <v>10195.72783</v>
      </c>
      <c r="J349" t="b">
        <v>1</v>
      </c>
      <c r="K349">
        <v>21</v>
      </c>
      <c r="L349" t="b">
        <v>0</v>
      </c>
      <c r="M349">
        <v>23073.498100000001</v>
      </c>
      <c r="N349">
        <v>731</v>
      </c>
      <c r="O349">
        <v>9347</v>
      </c>
      <c r="P349" t="s">
        <v>27</v>
      </c>
      <c r="Q349">
        <v>0.64432284541723661</v>
      </c>
      <c r="R349" t="s">
        <v>37</v>
      </c>
      <c r="S349">
        <v>21.646980530785562</v>
      </c>
      <c r="T349">
        <v>7.8206911308441207E-2</v>
      </c>
      <c r="U349" t="s">
        <v>34</v>
      </c>
      <c r="V349">
        <v>0</v>
      </c>
    </row>
    <row r="350" spans="1:22" x14ac:dyDescent="0.3">
      <c r="A350" s="1">
        <v>44805</v>
      </c>
      <c r="B350" t="s">
        <v>38</v>
      </c>
      <c r="C350" t="s">
        <v>31</v>
      </c>
      <c r="D350" t="s">
        <v>35</v>
      </c>
      <c r="E350" t="s">
        <v>33</v>
      </c>
      <c r="F350" t="s">
        <v>26</v>
      </c>
      <c r="G350">
        <v>555</v>
      </c>
      <c r="H350">
        <v>355</v>
      </c>
      <c r="I350">
        <v>6913.8641420000004</v>
      </c>
      <c r="J350" t="b">
        <v>1</v>
      </c>
      <c r="K350">
        <v>26</v>
      </c>
      <c r="L350" t="b">
        <v>1</v>
      </c>
      <c r="M350">
        <v>58768.288639999999</v>
      </c>
      <c r="N350">
        <v>2453.5</v>
      </c>
      <c r="O350">
        <v>5247</v>
      </c>
      <c r="P350" t="s">
        <v>36</v>
      </c>
      <c r="Q350">
        <v>0.22620745873242307</v>
      </c>
      <c r="R350" t="s">
        <v>37</v>
      </c>
      <c r="S350">
        <v>12.457412868468468</v>
      </c>
      <c r="T350">
        <v>0.46760053363826948</v>
      </c>
      <c r="U350" t="s">
        <v>29</v>
      </c>
      <c r="V350">
        <v>1</v>
      </c>
    </row>
    <row r="351" spans="1:22" x14ac:dyDescent="0.3">
      <c r="A351" s="1">
        <v>44806</v>
      </c>
      <c r="B351" t="s">
        <v>30</v>
      </c>
      <c r="C351" t="s">
        <v>44</v>
      </c>
      <c r="D351" t="s">
        <v>35</v>
      </c>
      <c r="E351" t="s">
        <v>33</v>
      </c>
      <c r="F351" t="s">
        <v>26</v>
      </c>
      <c r="G351">
        <v>293</v>
      </c>
      <c r="H351">
        <v>4552</v>
      </c>
      <c r="I351">
        <v>6681.3169019999996</v>
      </c>
      <c r="J351" t="b">
        <v>0</v>
      </c>
      <c r="K351">
        <v>23</v>
      </c>
      <c r="L351" t="b">
        <v>0</v>
      </c>
      <c r="M351">
        <v>41610.790809999999</v>
      </c>
      <c r="N351">
        <v>4681.5</v>
      </c>
      <c r="O351">
        <v>8191</v>
      </c>
      <c r="P351" t="s">
        <v>36</v>
      </c>
      <c r="Q351">
        <v>6.258677774217665E-2</v>
      </c>
      <c r="R351" t="s">
        <v>37</v>
      </c>
      <c r="S351">
        <v>22.803129358361772</v>
      </c>
      <c r="T351">
        <v>0.5715419362715175</v>
      </c>
      <c r="U351" t="s">
        <v>29</v>
      </c>
      <c r="V351">
        <v>0</v>
      </c>
    </row>
    <row r="352" spans="1:22" x14ac:dyDescent="0.3">
      <c r="A352" s="1">
        <v>44807</v>
      </c>
      <c r="B352" t="s">
        <v>38</v>
      </c>
      <c r="C352" t="s">
        <v>41</v>
      </c>
      <c r="D352" t="s">
        <v>24</v>
      </c>
      <c r="E352" t="s">
        <v>25</v>
      </c>
      <c r="F352" t="s">
        <v>26</v>
      </c>
      <c r="G352">
        <v>295</v>
      </c>
      <c r="H352">
        <v>4811</v>
      </c>
      <c r="I352">
        <v>1612.489292</v>
      </c>
      <c r="J352" t="b">
        <v>0</v>
      </c>
      <c r="K352">
        <v>16</v>
      </c>
      <c r="L352" t="b">
        <v>0</v>
      </c>
      <c r="M352">
        <v>6423.6046749999996</v>
      </c>
      <c r="N352">
        <v>4537</v>
      </c>
      <c r="O352">
        <v>7795</v>
      </c>
      <c r="P352" t="s">
        <v>27</v>
      </c>
      <c r="Q352">
        <v>6.5020938946440385E-2</v>
      </c>
      <c r="R352" t="s">
        <v>37</v>
      </c>
      <c r="S352">
        <v>5.4660653966101691</v>
      </c>
      <c r="T352">
        <v>0.58203976908274535</v>
      </c>
      <c r="U352" t="s">
        <v>29</v>
      </c>
      <c r="V352">
        <v>0</v>
      </c>
    </row>
    <row r="353" spans="1:22" x14ac:dyDescent="0.3">
      <c r="A353" s="1">
        <v>44808</v>
      </c>
      <c r="B353" t="s">
        <v>30</v>
      </c>
      <c r="C353" t="s">
        <v>31</v>
      </c>
      <c r="D353" t="s">
        <v>24</v>
      </c>
      <c r="E353" t="s">
        <v>25</v>
      </c>
      <c r="F353" t="s">
        <v>26</v>
      </c>
      <c r="G353">
        <v>625</v>
      </c>
      <c r="H353">
        <v>4263</v>
      </c>
      <c r="I353">
        <v>5719.8900720000001</v>
      </c>
      <c r="J353" t="b">
        <v>1</v>
      </c>
      <c r="K353">
        <v>27</v>
      </c>
      <c r="L353" t="b">
        <v>0</v>
      </c>
      <c r="M353">
        <v>113118.0961</v>
      </c>
      <c r="N353">
        <v>2308.5</v>
      </c>
      <c r="O353">
        <v>8947</v>
      </c>
      <c r="P353" t="s">
        <v>27</v>
      </c>
      <c r="Q353">
        <v>0.27073857483214209</v>
      </c>
      <c r="R353" t="s">
        <v>37</v>
      </c>
      <c r="S353">
        <v>9.1518241152000002</v>
      </c>
      <c r="T353">
        <v>0.25801944785961772</v>
      </c>
      <c r="U353" t="s">
        <v>34</v>
      </c>
      <c r="V353">
        <v>0</v>
      </c>
    </row>
    <row r="354" spans="1:22" x14ac:dyDescent="0.3">
      <c r="A354" s="1">
        <v>44809</v>
      </c>
      <c r="B354" t="s">
        <v>38</v>
      </c>
      <c r="C354" t="s">
        <v>31</v>
      </c>
      <c r="D354" t="s">
        <v>24</v>
      </c>
      <c r="E354" t="s">
        <v>45</v>
      </c>
      <c r="F354" t="s">
        <v>26</v>
      </c>
      <c r="G354">
        <v>230</v>
      </c>
      <c r="H354">
        <v>354</v>
      </c>
      <c r="I354">
        <v>10762.42151</v>
      </c>
      <c r="J354" t="b">
        <v>1</v>
      </c>
      <c r="K354">
        <v>13</v>
      </c>
      <c r="L354" t="b">
        <v>0</v>
      </c>
      <c r="M354">
        <v>20284.285039999999</v>
      </c>
      <c r="N354">
        <v>2369</v>
      </c>
      <c r="O354">
        <v>5388</v>
      </c>
      <c r="P354" t="s">
        <v>36</v>
      </c>
      <c r="Q354">
        <v>9.7087378640776698E-2</v>
      </c>
      <c r="R354" t="s">
        <v>28</v>
      </c>
      <c r="S354">
        <v>46.793137000000002</v>
      </c>
      <c r="T354">
        <v>0.43968077208611728</v>
      </c>
      <c r="U354" t="s">
        <v>29</v>
      </c>
      <c r="V354">
        <v>0</v>
      </c>
    </row>
    <row r="355" spans="1:22" x14ac:dyDescent="0.3">
      <c r="A355" s="1">
        <v>44810</v>
      </c>
      <c r="B355" t="s">
        <v>38</v>
      </c>
      <c r="C355" t="s">
        <v>44</v>
      </c>
      <c r="D355" t="s">
        <v>32</v>
      </c>
      <c r="E355" t="s">
        <v>25</v>
      </c>
      <c r="F355" t="s">
        <v>26</v>
      </c>
      <c r="G355">
        <v>608</v>
      </c>
      <c r="H355">
        <v>4384</v>
      </c>
      <c r="I355">
        <v>10432.58826</v>
      </c>
      <c r="J355" t="b">
        <v>1</v>
      </c>
      <c r="K355">
        <v>12</v>
      </c>
      <c r="L355" t="b">
        <v>1</v>
      </c>
      <c r="M355">
        <v>32267.22957</v>
      </c>
      <c r="N355">
        <v>2736.5</v>
      </c>
      <c r="O355">
        <v>9684</v>
      </c>
      <c r="P355" t="s">
        <v>27</v>
      </c>
      <c r="Q355">
        <v>0.22218161885620319</v>
      </c>
      <c r="R355" t="s">
        <v>28</v>
      </c>
      <c r="S355">
        <v>17.158862269736844</v>
      </c>
      <c r="T355">
        <v>0.28257951259809994</v>
      </c>
      <c r="U355" t="s">
        <v>34</v>
      </c>
      <c r="V355">
        <v>1</v>
      </c>
    </row>
    <row r="356" spans="1:22" x14ac:dyDescent="0.3">
      <c r="A356" s="1">
        <v>44811</v>
      </c>
      <c r="B356" t="s">
        <v>22</v>
      </c>
      <c r="C356" t="s">
        <v>23</v>
      </c>
      <c r="D356" t="s">
        <v>46</v>
      </c>
      <c r="E356" t="s">
        <v>45</v>
      </c>
      <c r="F356" t="s">
        <v>39</v>
      </c>
      <c r="G356">
        <v>556</v>
      </c>
      <c r="H356">
        <v>1089</v>
      </c>
      <c r="I356">
        <v>1723.3779979999999</v>
      </c>
      <c r="J356" t="b">
        <v>1</v>
      </c>
      <c r="K356">
        <v>16</v>
      </c>
      <c r="L356" t="b">
        <v>1</v>
      </c>
      <c r="M356">
        <v>39856.154269999999</v>
      </c>
      <c r="N356">
        <v>1935.5</v>
      </c>
      <c r="O356">
        <v>6885</v>
      </c>
      <c r="P356" t="s">
        <v>36</v>
      </c>
      <c r="Q356">
        <v>0.28726427279772671</v>
      </c>
      <c r="R356" t="s">
        <v>37</v>
      </c>
      <c r="S356">
        <v>3.099600715827338</v>
      </c>
      <c r="T356">
        <v>0.28111837327523603</v>
      </c>
      <c r="U356" t="s">
        <v>34</v>
      </c>
      <c r="V356">
        <v>1</v>
      </c>
    </row>
    <row r="357" spans="1:22" x14ac:dyDescent="0.3">
      <c r="A357" s="1">
        <v>44812</v>
      </c>
      <c r="B357" t="s">
        <v>22</v>
      </c>
      <c r="C357" t="s">
        <v>23</v>
      </c>
      <c r="D357" t="s">
        <v>32</v>
      </c>
      <c r="E357" t="s">
        <v>33</v>
      </c>
      <c r="F357" t="s">
        <v>26</v>
      </c>
      <c r="G357">
        <v>667</v>
      </c>
      <c r="H357">
        <v>2782</v>
      </c>
      <c r="I357">
        <v>5061.1801880000003</v>
      </c>
      <c r="J357" t="b">
        <v>1</v>
      </c>
      <c r="K357">
        <v>11</v>
      </c>
      <c r="L357" t="b">
        <v>0</v>
      </c>
      <c r="M357">
        <v>116128.9068</v>
      </c>
      <c r="N357">
        <v>3820</v>
      </c>
      <c r="O357">
        <v>7433</v>
      </c>
      <c r="P357" t="s">
        <v>36</v>
      </c>
      <c r="Q357">
        <v>0.17460732984293192</v>
      </c>
      <c r="R357" t="s">
        <v>28</v>
      </c>
      <c r="S357">
        <v>7.5879762938530737</v>
      </c>
      <c r="T357">
        <v>0.51392439122830624</v>
      </c>
      <c r="U357" t="s">
        <v>29</v>
      </c>
      <c r="V357">
        <v>0</v>
      </c>
    </row>
    <row r="358" spans="1:22" x14ac:dyDescent="0.3">
      <c r="A358" s="1">
        <v>44813</v>
      </c>
      <c r="B358" t="s">
        <v>30</v>
      </c>
      <c r="C358" t="s">
        <v>31</v>
      </c>
      <c r="D358" t="s">
        <v>46</v>
      </c>
      <c r="E358" t="s">
        <v>45</v>
      </c>
      <c r="F358" t="s">
        <v>26</v>
      </c>
      <c r="G358">
        <v>407</v>
      </c>
      <c r="H358">
        <v>4858</v>
      </c>
      <c r="I358">
        <v>8648.2475950000007</v>
      </c>
      <c r="J358" t="b">
        <v>1</v>
      </c>
      <c r="K358">
        <v>26</v>
      </c>
      <c r="L358" t="b">
        <v>0</v>
      </c>
      <c r="M358">
        <v>55965.107250000001</v>
      </c>
      <c r="N358">
        <v>3733</v>
      </c>
      <c r="O358">
        <v>7987</v>
      </c>
      <c r="P358" t="s">
        <v>27</v>
      </c>
      <c r="Q358">
        <v>0.10902759174926333</v>
      </c>
      <c r="R358" t="s">
        <v>37</v>
      </c>
      <c r="S358">
        <v>21.248765589680591</v>
      </c>
      <c r="T358">
        <v>0.46738449981219482</v>
      </c>
      <c r="U358" t="s">
        <v>29</v>
      </c>
      <c r="V358">
        <v>0</v>
      </c>
    </row>
    <row r="359" spans="1:22" x14ac:dyDescent="0.3">
      <c r="A359" s="1">
        <v>44814</v>
      </c>
      <c r="B359" t="s">
        <v>22</v>
      </c>
      <c r="C359" t="s">
        <v>41</v>
      </c>
      <c r="D359" t="s">
        <v>32</v>
      </c>
      <c r="E359" t="s">
        <v>33</v>
      </c>
      <c r="F359" t="s">
        <v>26</v>
      </c>
      <c r="G359">
        <v>996</v>
      </c>
      <c r="H359">
        <v>2608</v>
      </c>
      <c r="I359">
        <v>3319.7210279999999</v>
      </c>
      <c r="J359" t="b">
        <v>1</v>
      </c>
      <c r="K359">
        <v>25</v>
      </c>
      <c r="L359" t="b">
        <v>0</v>
      </c>
      <c r="M359">
        <v>100463.3134</v>
      </c>
      <c r="N359">
        <v>2333.5</v>
      </c>
      <c r="O359">
        <v>5582</v>
      </c>
      <c r="P359" t="s">
        <v>27</v>
      </c>
      <c r="Q359">
        <v>0.4268266552389115</v>
      </c>
      <c r="R359" t="s">
        <v>37</v>
      </c>
      <c r="S359">
        <v>3.3330532409638551</v>
      </c>
      <c r="T359">
        <v>0.41804012898602649</v>
      </c>
      <c r="U359" t="s">
        <v>29</v>
      </c>
      <c r="V359">
        <v>0</v>
      </c>
    </row>
    <row r="360" spans="1:22" x14ac:dyDescent="0.3">
      <c r="A360" s="1">
        <v>44815</v>
      </c>
      <c r="B360" t="s">
        <v>42</v>
      </c>
      <c r="C360" t="s">
        <v>31</v>
      </c>
      <c r="D360" t="s">
        <v>32</v>
      </c>
      <c r="E360" t="s">
        <v>25</v>
      </c>
      <c r="F360" t="s">
        <v>26</v>
      </c>
      <c r="G360">
        <v>266</v>
      </c>
      <c r="H360">
        <v>2059</v>
      </c>
      <c r="I360">
        <v>5461.7028840000003</v>
      </c>
      <c r="J360" t="b">
        <v>1</v>
      </c>
      <c r="K360">
        <v>21</v>
      </c>
      <c r="L360" t="b">
        <v>0</v>
      </c>
      <c r="M360">
        <v>18321.56352</v>
      </c>
      <c r="N360">
        <v>1834.5</v>
      </c>
      <c r="O360">
        <v>7335</v>
      </c>
      <c r="P360" t="s">
        <v>27</v>
      </c>
      <c r="Q360">
        <v>0.1449986372308531</v>
      </c>
      <c r="R360" t="s">
        <v>37</v>
      </c>
      <c r="S360">
        <v>20.532717609022558</v>
      </c>
      <c r="T360">
        <v>0.25010224948875254</v>
      </c>
      <c r="U360" t="s">
        <v>34</v>
      </c>
      <c r="V360">
        <v>0</v>
      </c>
    </row>
    <row r="361" spans="1:22" x14ac:dyDescent="0.3">
      <c r="A361" s="1">
        <v>44816</v>
      </c>
      <c r="B361" t="s">
        <v>30</v>
      </c>
      <c r="C361" t="s">
        <v>41</v>
      </c>
      <c r="D361" t="s">
        <v>46</v>
      </c>
      <c r="E361" t="s">
        <v>33</v>
      </c>
      <c r="F361" t="s">
        <v>26</v>
      </c>
      <c r="G361">
        <v>671</v>
      </c>
      <c r="H361">
        <v>1610</v>
      </c>
      <c r="I361">
        <v>5088.5913600000003</v>
      </c>
      <c r="J361" t="b">
        <v>1</v>
      </c>
      <c r="K361">
        <v>18</v>
      </c>
      <c r="L361" t="b">
        <v>0</v>
      </c>
      <c r="M361">
        <v>40580.413589999996</v>
      </c>
      <c r="N361">
        <v>3012</v>
      </c>
      <c r="O361">
        <v>9664</v>
      </c>
      <c r="P361" t="s">
        <v>36</v>
      </c>
      <c r="Q361">
        <v>0.22277556440903054</v>
      </c>
      <c r="R361" t="s">
        <v>37</v>
      </c>
      <c r="S361">
        <v>7.583593681073026</v>
      </c>
      <c r="T361">
        <v>0.3116721854304636</v>
      </c>
      <c r="U361" t="s">
        <v>34</v>
      </c>
      <c r="V361">
        <v>0</v>
      </c>
    </row>
    <row r="362" spans="1:22" x14ac:dyDescent="0.3">
      <c r="A362" s="1">
        <v>44817</v>
      </c>
      <c r="B362" t="s">
        <v>22</v>
      </c>
      <c r="C362" t="s">
        <v>31</v>
      </c>
      <c r="D362" t="s">
        <v>35</v>
      </c>
      <c r="E362" t="s">
        <v>25</v>
      </c>
      <c r="F362" t="s">
        <v>26</v>
      </c>
      <c r="G362">
        <v>128</v>
      </c>
      <c r="H362">
        <v>4414</v>
      </c>
      <c r="I362">
        <v>11062.12607</v>
      </c>
      <c r="J362" t="b">
        <v>0</v>
      </c>
      <c r="K362">
        <v>17</v>
      </c>
      <c r="L362" t="b">
        <v>1</v>
      </c>
      <c r="M362">
        <v>6983.494533</v>
      </c>
      <c r="N362">
        <v>2761</v>
      </c>
      <c r="O362">
        <v>5147</v>
      </c>
      <c r="P362" t="s">
        <v>27</v>
      </c>
      <c r="Q362">
        <v>4.6360014487504528E-2</v>
      </c>
      <c r="R362" t="s">
        <v>37</v>
      </c>
      <c r="S362">
        <v>86.422859921875002</v>
      </c>
      <c r="T362">
        <v>0.53642898775986014</v>
      </c>
      <c r="U362" t="s">
        <v>29</v>
      </c>
      <c r="V362">
        <v>1</v>
      </c>
    </row>
    <row r="363" spans="1:22" x14ac:dyDescent="0.3">
      <c r="A363" s="1">
        <v>44818</v>
      </c>
      <c r="B363" t="s">
        <v>42</v>
      </c>
      <c r="C363" t="s">
        <v>44</v>
      </c>
      <c r="D363" t="s">
        <v>46</v>
      </c>
      <c r="E363" t="s">
        <v>45</v>
      </c>
      <c r="F363" t="s">
        <v>43</v>
      </c>
      <c r="G363">
        <v>734</v>
      </c>
      <c r="H363">
        <v>1108</v>
      </c>
      <c r="I363">
        <v>7515.8245649999999</v>
      </c>
      <c r="J363" t="b">
        <v>1</v>
      </c>
      <c r="K363">
        <v>11</v>
      </c>
      <c r="L363" t="b">
        <v>0</v>
      </c>
      <c r="M363">
        <v>75435.524810000003</v>
      </c>
      <c r="N363">
        <v>1226</v>
      </c>
      <c r="O363">
        <v>7668</v>
      </c>
      <c r="P363" t="s">
        <v>36</v>
      </c>
      <c r="Q363">
        <v>0.59869494290375203</v>
      </c>
      <c r="R363" t="s">
        <v>28</v>
      </c>
      <c r="S363">
        <v>10.239543004087194</v>
      </c>
      <c r="T363">
        <v>0.15988523735002608</v>
      </c>
      <c r="U363" t="s">
        <v>34</v>
      </c>
      <c r="V363">
        <v>0</v>
      </c>
    </row>
    <row r="364" spans="1:22" x14ac:dyDescent="0.3">
      <c r="A364" s="1">
        <v>44819</v>
      </c>
      <c r="B364" t="s">
        <v>22</v>
      </c>
      <c r="C364" t="s">
        <v>31</v>
      </c>
      <c r="D364" t="s">
        <v>35</v>
      </c>
      <c r="E364" t="s">
        <v>25</v>
      </c>
      <c r="F364" t="s">
        <v>43</v>
      </c>
      <c r="G364">
        <v>142</v>
      </c>
      <c r="H364">
        <v>1344</v>
      </c>
      <c r="I364">
        <v>13385.310649999999</v>
      </c>
      <c r="J364" t="b">
        <v>1</v>
      </c>
      <c r="K364">
        <v>24</v>
      </c>
      <c r="L364" t="b">
        <v>0</v>
      </c>
      <c r="M364">
        <v>11617.83095</v>
      </c>
      <c r="N364">
        <v>2589</v>
      </c>
      <c r="O364">
        <v>8821</v>
      </c>
      <c r="P364" t="s">
        <v>36</v>
      </c>
      <c r="Q364">
        <v>5.4847431440710699E-2</v>
      </c>
      <c r="R364" t="s">
        <v>37</v>
      </c>
      <c r="S364">
        <v>94.262751056338018</v>
      </c>
      <c r="T364">
        <v>0.29350413785285118</v>
      </c>
      <c r="U364" t="s">
        <v>34</v>
      </c>
      <c r="V364">
        <v>0</v>
      </c>
    </row>
    <row r="365" spans="1:22" x14ac:dyDescent="0.3">
      <c r="A365" s="1">
        <v>44820</v>
      </c>
      <c r="B365" t="s">
        <v>30</v>
      </c>
      <c r="C365" t="s">
        <v>44</v>
      </c>
      <c r="D365" t="s">
        <v>24</v>
      </c>
      <c r="E365" t="s">
        <v>45</v>
      </c>
      <c r="F365" t="s">
        <v>26</v>
      </c>
      <c r="G365">
        <v>549</v>
      </c>
      <c r="H365">
        <v>3834</v>
      </c>
      <c r="I365">
        <v>12804.795</v>
      </c>
      <c r="J365" t="b">
        <v>1</v>
      </c>
      <c r="K365">
        <v>8</v>
      </c>
      <c r="L365" t="b">
        <v>0</v>
      </c>
      <c r="M365">
        <v>35837.73156</v>
      </c>
      <c r="N365">
        <v>4225</v>
      </c>
      <c r="O365">
        <v>7956</v>
      </c>
      <c r="P365" t="s">
        <v>36</v>
      </c>
      <c r="Q365">
        <v>0.12994082840236687</v>
      </c>
      <c r="R365" t="s">
        <v>28</v>
      </c>
      <c r="S365">
        <v>23.323852459016393</v>
      </c>
      <c r="T365">
        <v>0.53104575163398693</v>
      </c>
      <c r="U365" t="s">
        <v>29</v>
      </c>
      <c r="V365">
        <v>0</v>
      </c>
    </row>
    <row r="366" spans="1:22" x14ac:dyDescent="0.3">
      <c r="A366" s="1">
        <v>44821</v>
      </c>
      <c r="B366" t="s">
        <v>42</v>
      </c>
      <c r="C366" t="s">
        <v>44</v>
      </c>
      <c r="D366" t="s">
        <v>46</v>
      </c>
      <c r="E366" t="s">
        <v>45</v>
      </c>
      <c r="F366" t="s">
        <v>39</v>
      </c>
      <c r="G366">
        <v>463</v>
      </c>
      <c r="H366">
        <v>4616</v>
      </c>
      <c r="I366">
        <v>9215.8219270000009</v>
      </c>
      <c r="J366" t="b">
        <v>1</v>
      </c>
      <c r="K366">
        <v>4</v>
      </c>
      <c r="L366" t="b">
        <v>0</v>
      </c>
      <c r="M366">
        <v>35098.768499999998</v>
      </c>
      <c r="N366">
        <v>3860</v>
      </c>
      <c r="O366">
        <v>6700</v>
      </c>
      <c r="P366" t="s">
        <v>27</v>
      </c>
      <c r="Q366">
        <v>0.11994818652849741</v>
      </c>
      <c r="R366" t="s">
        <v>40</v>
      </c>
      <c r="S366">
        <v>19.904582995680347</v>
      </c>
      <c r="T366">
        <v>0.57611940298507458</v>
      </c>
      <c r="U366" t="s">
        <v>29</v>
      </c>
      <c r="V366">
        <v>0</v>
      </c>
    </row>
    <row r="367" spans="1:22" x14ac:dyDescent="0.3">
      <c r="A367" s="1">
        <v>44822</v>
      </c>
      <c r="B367" t="s">
        <v>22</v>
      </c>
      <c r="C367" t="s">
        <v>41</v>
      </c>
      <c r="D367" t="s">
        <v>46</v>
      </c>
      <c r="E367" t="s">
        <v>25</v>
      </c>
      <c r="F367" t="s">
        <v>39</v>
      </c>
      <c r="G367">
        <v>799</v>
      </c>
      <c r="H367">
        <v>3104</v>
      </c>
      <c r="I367">
        <v>5761.5543459999999</v>
      </c>
      <c r="J367" t="b">
        <v>1</v>
      </c>
      <c r="K367">
        <v>29</v>
      </c>
      <c r="L367" t="b">
        <v>0</v>
      </c>
      <c r="M367">
        <v>72334.862120000005</v>
      </c>
      <c r="N367">
        <v>3662.5</v>
      </c>
      <c r="O367">
        <v>7243</v>
      </c>
      <c r="P367" t="s">
        <v>36</v>
      </c>
      <c r="Q367">
        <v>0.21815699658703072</v>
      </c>
      <c r="R367" t="s">
        <v>37</v>
      </c>
      <c r="S367">
        <v>7.2109566282853566</v>
      </c>
      <c r="T367">
        <v>0.50566063785724147</v>
      </c>
      <c r="U367" t="s">
        <v>29</v>
      </c>
      <c r="V367">
        <v>0</v>
      </c>
    </row>
    <row r="368" spans="1:22" x14ac:dyDescent="0.3">
      <c r="A368" s="1">
        <v>44823</v>
      </c>
      <c r="B368" t="s">
        <v>42</v>
      </c>
      <c r="C368" t="s">
        <v>44</v>
      </c>
      <c r="D368" t="s">
        <v>32</v>
      </c>
      <c r="E368" t="s">
        <v>33</v>
      </c>
      <c r="F368" t="s">
        <v>26</v>
      </c>
      <c r="G368">
        <v>769</v>
      </c>
      <c r="H368">
        <v>4221</v>
      </c>
      <c r="I368">
        <v>695.94781339999997</v>
      </c>
      <c r="J368" t="b">
        <v>1</v>
      </c>
      <c r="K368">
        <v>18</v>
      </c>
      <c r="L368" t="b">
        <v>0</v>
      </c>
      <c r="M368">
        <v>90671.678190000006</v>
      </c>
      <c r="N368">
        <v>3472.5</v>
      </c>
      <c r="O368">
        <v>8485</v>
      </c>
      <c r="P368" t="s">
        <v>27</v>
      </c>
      <c r="Q368">
        <v>0.2214542836573074</v>
      </c>
      <c r="R368" t="s">
        <v>37</v>
      </c>
      <c r="S368">
        <v>0.90500365851755527</v>
      </c>
      <c r="T368">
        <v>0.40925162050677666</v>
      </c>
      <c r="U368" t="s">
        <v>29</v>
      </c>
      <c r="V368">
        <v>0</v>
      </c>
    </row>
    <row r="369" spans="1:22" x14ac:dyDescent="0.3">
      <c r="A369" s="1">
        <v>44824</v>
      </c>
      <c r="B369" t="s">
        <v>30</v>
      </c>
      <c r="C369" t="s">
        <v>31</v>
      </c>
      <c r="D369" t="s">
        <v>35</v>
      </c>
      <c r="E369" t="s">
        <v>25</v>
      </c>
      <c r="F369" t="s">
        <v>26</v>
      </c>
      <c r="G369">
        <v>322</v>
      </c>
      <c r="H369">
        <v>2724</v>
      </c>
      <c r="I369">
        <v>7806.7388680000004</v>
      </c>
      <c r="J369" t="b">
        <v>1</v>
      </c>
      <c r="K369">
        <v>10</v>
      </c>
      <c r="L369" t="b">
        <v>0</v>
      </c>
      <c r="M369">
        <v>36858.378850000001</v>
      </c>
      <c r="N369">
        <v>2790.5</v>
      </c>
      <c r="O369">
        <v>9807</v>
      </c>
      <c r="P369" t="s">
        <v>36</v>
      </c>
      <c r="Q369">
        <v>0.1153915068984053</v>
      </c>
      <c r="R369" t="s">
        <v>28</v>
      </c>
      <c r="S369">
        <v>24.244530645962733</v>
      </c>
      <c r="T369">
        <v>0.28454165392066894</v>
      </c>
      <c r="U369" t="s">
        <v>34</v>
      </c>
      <c r="V369">
        <v>0</v>
      </c>
    </row>
    <row r="370" spans="1:22" x14ac:dyDescent="0.3">
      <c r="A370" s="1">
        <v>44825</v>
      </c>
      <c r="B370" t="s">
        <v>22</v>
      </c>
      <c r="C370" t="s">
        <v>41</v>
      </c>
      <c r="D370" t="s">
        <v>46</v>
      </c>
      <c r="E370" t="s">
        <v>25</v>
      </c>
      <c r="F370" t="s">
        <v>26</v>
      </c>
      <c r="G370">
        <v>397</v>
      </c>
      <c r="H370">
        <v>2857</v>
      </c>
      <c r="I370">
        <v>8701.2511520000007</v>
      </c>
      <c r="J370" t="b">
        <v>1</v>
      </c>
      <c r="K370">
        <v>13</v>
      </c>
      <c r="L370" t="b">
        <v>1</v>
      </c>
      <c r="M370">
        <v>79201.856039999999</v>
      </c>
      <c r="N370">
        <v>2416.5</v>
      </c>
      <c r="O370">
        <v>5387</v>
      </c>
      <c r="P370" t="s">
        <v>27</v>
      </c>
      <c r="Q370">
        <v>0.16428719222015312</v>
      </c>
      <c r="R370" t="s">
        <v>28</v>
      </c>
      <c r="S370">
        <v>21.917509198992445</v>
      </c>
      <c r="T370">
        <v>0.44857991460924446</v>
      </c>
      <c r="U370" t="s">
        <v>29</v>
      </c>
      <c r="V370">
        <v>1</v>
      </c>
    </row>
    <row r="371" spans="1:22" x14ac:dyDescent="0.3">
      <c r="A371" s="1">
        <v>44826</v>
      </c>
      <c r="B371" t="s">
        <v>22</v>
      </c>
      <c r="C371" t="s">
        <v>31</v>
      </c>
      <c r="D371" t="s">
        <v>46</v>
      </c>
      <c r="E371" t="s">
        <v>33</v>
      </c>
      <c r="F371" t="s">
        <v>39</v>
      </c>
      <c r="G371">
        <v>847</v>
      </c>
      <c r="H371">
        <v>1976</v>
      </c>
      <c r="I371">
        <v>2872.4390870000002</v>
      </c>
      <c r="J371" t="b">
        <v>1</v>
      </c>
      <c r="K371">
        <v>21</v>
      </c>
      <c r="L371" t="b">
        <v>1</v>
      </c>
      <c r="M371">
        <v>96394.362129999994</v>
      </c>
      <c r="N371">
        <v>2949.5</v>
      </c>
      <c r="O371">
        <v>7339</v>
      </c>
      <c r="P371" t="s">
        <v>36</v>
      </c>
      <c r="Q371">
        <v>0.28716731649432109</v>
      </c>
      <c r="R371" t="s">
        <v>37</v>
      </c>
      <c r="S371">
        <v>3.3913094297520665</v>
      </c>
      <c r="T371">
        <v>0.40189399100694917</v>
      </c>
      <c r="U371" t="s">
        <v>29</v>
      </c>
      <c r="V371">
        <v>1</v>
      </c>
    </row>
    <row r="372" spans="1:22" x14ac:dyDescent="0.3">
      <c r="A372" s="1">
        <v>44827</v>
      </c>
      <c r="B372" t="s">
        <v>42</v>
      </c>
      <c r="C372" t="s">
        <v>23</v>
      </c>
      <c r="D372" t="s">
        <v>46</v>
      </c>
      <c r="E372" t="s">
        <v>45</v>
      </c>
      <c r="F372" t="s">
        <v>39</v>
      </c>
      <c r="G372">
        <v>596</v>
      </c>
      <c r="H372">
        <v>3923</v>
      </c>
      <c r="I372">
        <v>9652.227132</v>
      </c>
      <c r="J372" t="b">
        <v>1</v>
      </c>
      <c r="K372">
        <v>14</v>
      </c>
      <c r="L372" t="b">
        <v>0</v>
      </c>
      <c r="M372">
        <v>112864.70759999999</v>
      </c>
      <c r="N372">
        <v>2138.5</v>
      </c>
      <c r="O372">
        <v>6946</v>
      </c>
      <c r="P372" t="s">
        <v>27</v>
      </c>
      <c r="Q372">
        <v>0.27870002338087446</v>
      </c>
      <c r="R372" t="s">
        <v>28</v>
      </c>
      <c r="S372">
        <v>16.195011966442951</v>
      </c>
      <c r="T372">
        <v>0.30787503599193783</v>
      </c>
      <c r="U372" t="s">
        <v>34</v>
      </c>
      <c r="V372">
        <v>0</v>
      </c>
    </row>
    <row r="373" spans="1:22" x14ac:dyDescent="0.3">
      <c r="A373" s="1">
        <v>44828</v>
      </c>
      <c r="B373" t="s">
        <v>30</v>
      </c>
      <c r="C373" t="s">
        <v>44</v>
      </c>
      <c r="D373" t="s">
        <v>35</v>
      </c>
      <c r="E373" t="s">
        <v>25</v>
      </c>
      <c r="F373" t="s">
        <v>26</v>
      </c>
      <c r="G373">
        <v>383</v>
      </c>
      <c r="H373">
        <v>354</v>
      </c>
      <c r="I373">
        <v>814.65138149999996</v>
      </c>
      <c r="J373" t="b">
        <v>0</v>
      </c>
      <c r="K373">
        <v>5</v>
      </c>
      <c r="L373" t="b">
        <v>0</v>
      </c>
      <c r="M373">
        <v>20785.022710000001</v>
      </c>
      <c r="N373">
        <v>1940</v>
      </c>
      <c r="O373">
        <v>8598</v>
      </c>
      <c r="P373" t="s">
        <v>36</v>
      </c>
      <c r="Q373">
        <v>0.19742268041237113</v>
      </c>
      <c r="R373" t="s">
        <v>40</v>
      </c>
      <c r="S373">
        <v>2.127027105744125</v>
      </c>
      <c r="T373">
        <v>0.22563386834147475</v>
      </c>
      <c r="U373" t="s">
        <v>34</v>
      </c>
      <c r="V373">
        <v>0</v>
      </c>
    </row>
    <row r="374" spans="1:22" x14ac:dyDescent="0.3">
      <c r="A374" s="1">
        <v>44829</v>
      </c>
      <c r="B374" t="s">
        <v>38</v>
      </c>
      <c r="C374" t="s">
        <v>23</v>
      </c>
      <c r="D374" t="s">
        <v>46</v>
      </c>
      <c r="E374" t="s">
        <v>45</v>
      </c>
      <c r="F374" t="s">
        <v>26</v>
      </c>
      <c r="G374">
        <v>831</v>
      </c>
      <c r="H374">
        <v>3526</v>
      </c>
      <c r="I374">
        <v>10696.39688</v>
      </c>
      <c r="J374" t="b">
        <v>1</v>
      </c>
      <c r="K374">
        <v>6</v>
      </c>
      <c r="L374" t="b">
        <v>0</v>
      </c>
      <c r="M374">
        <v>17941.067139999999</v>
      </c>
      <c r="N374">
        <v>4068.5</v>
      </c>
      <c r="O374">
        <v>9675</v>
      </c>
      <c r="P374" t="s">
        <v>36</v>
      </c>
      <c r="Q374">
        <v>0.20425218139363402</v>
      </c>
      <c r="R374" t="s">
        <v>40</v>
      </c>
      <c r="S374">
        <v>12.871717063778581</v>
      </c>
      <c r="T374">
        <v>0.42051679586563306</v>
      </c>
      <c r="U374" t="s">
        <v>29</v>
      </c>
      <c r="V374">
        <v>0</v>
      </c>
    </row>
    <row r="375" spans="1:22" x14ac:dyDescent="0.3">
      <c r="A375" s="1">
        <v>44830</v>
      </c>
      <c r="B375" t="s">
        <v>30</v>
      </c>
      <c r="C375" t="s">
        <v>31</v>
      </c>
      <c r="D375" t="s">
        <v>24</v>
      </c>
      <c r="E375" t="s">
        <v>25</v>
      </c>
      <c r="F375" t="s">
        <v>26</v>
      </c>
      <c r="G375">
        <v>213</v>
      </c>
      <c r="H375">
        <v>4611</v>
      </c>
      <c r="I375">
        <v>756.85083380000003</v>
      </c>
      <c r="J375" t="b">
        <v>1</v>
      </c>
      <c r="K375">
        <v>15</v>
      </c>
      <c r="L375" t="b">
        <v>0</v>
      </c>
      <c r="M375">
        <v>17085.534149999999</v>
      </c>
      <c r="N375">
        <v>3841</v>
      </c>
      <c r="O375">
        <v>6290</v>
      </c>
      <c r="P375" t="s">
        <v>27</v>
      </c>
      <c r="Q375">
        <v>5.5454308773756837E-2</v>
      </c>
      <c r="R375" t="s">
        <v>37</v>
      </c>
      <c r="S375">
        <v>3.5532902995305164</v>
      </c>
      <c r="T375">
        <v>0.61065182829888709</v>
      </c>
      <c r="U375" t="s">
        <v>29</v>
      </c>
      <c r="V375">
        <v>0</v>
      </c>
    </row>
    <row r="376" spans="1:22" x14ac:dyDescent="0.3">
      <c r="A376" s="1">
        <v>44831</v>
      </c>
      <c r="B376" t="s">
        <v>42</v>
      </c>
      <c r="C376" t="s">
        <v>44</v>
      </c>
      <c r="D376" t="s">
        <v>32</v>
      </c>
      <c r="E376" t="s">
        <v>45</v>
      </c>
      <c r="F376" t="s">
        <v>43</v>
      </c>
      <c r="G376">
        <v>914</v>
      </c>
      <c r="H376">
        <v>3071</v>
      </c>
      <c r="I376">
        <v>5890.0412770000003</v>
      </c>
      <c r="J376" t="b">
        <v>0</v>
      </c>
      <c r="K376">
        <v>7</v>
      </c>
      <c r="L376" t="b">
        <v>0</v>
      </c>
      <c r="M376">
        <v>112053.57339999999</v>
      </c>
      <c r="N376">
        <v>2484.5</v>
      </c>
      <c r="O376">
        <v>6977</v>
      </c>
      <c r="P376" t="s">
        <v>27</v>
      </c>
      <c r="Q376">
        <v>0.36788086134030989</v>
      </c>
      <c r="R376" t="s">
        <v>40</v>
      </c>
      <c r="S376">
        <v>6.4442464737417948</v>
      </c>
      <c r="T376">
        <v>0.35609860971764368</v>
      </c>
      <c r="U376" t="s">
        <v>34</v>
      </c>
      <c r="V376">
        <v>0</v>
      </c>
    </row>
    <row r="377" spans="1:22" x14ac:dyDescent="0.3">
      <c r="A377" s="1">
        <v>44832</v>
      </c>
      <c r="B377" t="s">
        <v>42</v>
      </c>
      <c r="C377" t="s">
        <v>41</v>
      </c>
      <c r="D377" t="s">
        <v>46</v>
      </c>
      <c r="E377" t="s">
        <v>45</v>
      </c>
      <c r="F377" t="s">
        <v>26</v>
      </c>
      <c r="G377">
        <v>516</v>
      </c>
      <c r="H377">
        <v>1898</v>
      </c>
      <c r="I377">
        <v>10681.2731</v>
      </c>
      <c r="J377" t="b">
        <v>1</v>
      </c>
      <c r="K377">
        <v>8</v>
      </c>
      <c r="L377" t="b">
        <v>0</v>
      </c>
      <c r="M377">
        <v>12179.785889999999</v>
      </c>
      <c r="N377">
        <v>1378.5</v>
      </c>
      <c r="O377">
        <v>8302</v>
      </c>
      <c r="P377" t="s">
        <v>27</v>
      </c>
      <c r="Q377">
        <v>0.37431991294885747</v>
      </c>
      <c r="R377" t="s">
        <v>28</v>
      </c>
      <c r="S377">
        <v>20.700141666666667</v>
      </c>
      <c r="T377">
        <v>0.16604432666827271</v>
      </c>
      <c r="U377" t="s">
        <v>34</v>
      </c>
      <c r="V377">
        <v>0</v>
      </c>
    </row>
    <row r="378" spans="1:22" x14ac:dyDescent="0.3">
      <c r="A378" s="1">
        <v>44833</v>
      </c>
      <c r="B378" t="s">
        <v>30</v>
      </c>
      <c r="C378" t="s">
        <v>41</v>
      </c>
      <c r="D378" t="s">
        <v>35</v>
      </c>
      <c r="E378" t="s">
        <v>33</v>
      </c>
      <c r="F378" t="s">
        <v>43</v>
      </c>
      <c r="G378">
        <v>590</v>
      </c>
      <c r="H378">
        <v>859</v>
      </c>
      <c r="I378">
        <v>10244.761839999999</v>
      </c>
      <c r="J378" t="b">
        <v>1</v>
      </c>
      <c r="K378">
        <v>4</v>
      </c>
      <c r="L378" t="b">
        <v>0</v>
      </c>
      <c r="M378">
        <v>87205.116720000005</v>
      </c>
      <c r="N378">
        <v>806.5</v>
      </c>
      <c r="O378">
        <v>5027</v>
      </c>
      <c r="P378" t="s">
        <v>27</v>
      </c>
      <c r="Q378">
        <v>0.73155610663360193</v>
      </c>
      <c r="R378" t="s">
        <v>40</v>
      </c>
      <c r="S378">
        <v>17.364003118644067</v>
      </c>
      <c r="T378">
        <v>0.16043365824547443</v>
      </c>
      <c r="U378" t="s">
        <v>34</v>
      </c>
      <c r="V378">
        <v>0</v>
      </c>
    </row>
    <row r="379" spans="1:22" x14ac:dyDescent="0.3">
      <c r="A379" s="1">
        <v>44834</v>
      </c>
      <c r="B379" t="s">
        <v>38</v>
      </c>
      <c r="C379" t="s">
        <v>44</v>
      </c>
      <c r="D379" t="s">
        <v>46</v>
      </c>
      <c r="E379" t="s">
        <v>25</v>
      </c>
      <c r="F379" t="s">
        <v>39</v>
      </c>
      <c r="G379">
        <v>103</v>
      </c>
      <c r="H379">
        <v>754</v>
      </c>
      <c r="I379">
        <v>4760.019824</v>
      </c>
      <c r="J379" t="b">
        <v>1</v>
      </c>
      <c r="K379">
        <v>21</v>
      </c>
      <c r="L379" t="b">
        <v>0</v>
      </c>
      <c r="M379">
        <v>9071.7294239999992</v>
      </c>
      <c r="N379">
        <v>1873</v>
      </c>
      <c r="O379">
        <v>5183</v>
      </c>
      <c r="P379" t="s">
        <v>36</v>
      </c>
      <c r="Q379">
        <v>5.4991991457554727E-2</v>
      </c>
      <c r="R379" t="s">
        <v>37</v>
      </c>
      <c r="S379">
        <v>46.213784699029127</v>
      </c>
      <c r="T379">
        <v>0.36137372178275129</v>
      </c>
      <c r="U379" t="s">
        <v>34</v>
      </c>
      <c r="V379">
        <v>0</v>
      </c>
    </row>
    <row r="380" spans="1:22" x14ac:dyDescent="0.3">
      <c r="A380" s="1">
        <v>44835</v>
      </c>
      <c r="B380" t="s">
        <v>42</v>
      </c>
      <c r="C380" t="s">
        <v>31</v>
      </c>
      <c r="D380" t="s">
        <v>32</v>
      </c>
      <c r="E380" t="s">
        <v>25</v>
      </c>
      <c r="F380" t="s">
        <v>26</v>
      </c>
      <c r="G380">
        <v>970</v>
      </c>
      <c r="H380">
        <v>2992</v>
      </c>
      <c r="I380">
        <v>10625.90058</v>
      </c>
      <c r="J380" t="b">
        <v>1</v>
      </c>
      <c r="K380">
        <v>12</v>
      </c>
      <c r="L380" t="b">
        <v>0</v>
      </c>
      <c r="M380">
        <v>32154.840230000002</v>
      </c>
      <c r="N380">
        <v>3246.5</v>
      </c>
      <c r="O380">
        <v>5628</v>
      </c>
      <c r="P380" t="s">
        <v>36</v>
      </c>
      <c r="Q380">
        <v>0.2987833050977976</v>
      </c>
      <c r="R380" t="s">
        <v>28</v>
      </c>
      <c r="S380">
        <v>10.954536680412371</v>
      </c>
      <c r="T380">
        <v>0.57684790334044067</v>
      </c>
      <c r="U380" t="s">
        <v>29</v>
      </c>
      <c r="V380">
        <v>0</v>
      </c>
    </row>
    <row r="381" spans="1:22" x14ac:dyDescent="0.3">
      <c r="A381" s="1">
        <v>44836</v>
      </c>
      <c r="B381" t="s">
        <v>30</v>
      </c>
      <c r="C381" t="s">
        <v>31</v>
      </c>
      <c r="D381" t="s">
        <v>46</v>
      </c>
      <c r="E381" t="s">
        <v>33</v>
      </c>
      <c r="F381" t="s">
        <v>26</v>
      </c>
      <c r="G381">
        <v>587</v>
      </c>
      <c r="H381">
        <v>3501</v>
      </c>
      <c r="I381">
        <v>14893.070449999999</v>
      </c>
      <c r="J381" t="b">
        <v>1</v>
      </c>
      <c r="K381">
        <v>24</v>
      </c>
      <c r="L381" t="b">
        <v>0</v>
      </c>
      <c r="M381">
        <v>80367.278739999994</v>
      </c>
      <c r="N381">
        <v>2510.5</v>
      </c>
      <c r="O381">
        <v>6107</v>
      </c>
      <c r="P381" t="s">
        <v>27</v>
      </c>
      <c r="Q381">
        <v>0.23381796454889464</v>
      </c>
      <c r="R381" t="s">
        <v>37</v>
      </c>
      <c r="S381">
        <v>25.371499914821122</v>
      </c>
      <c r="T381">
        <v>0.41108563943016213</v>
      </c>
      <c r="U381" t="s">
        <v>29</v>
      </c>
      <c r="V381">
        <v>0</v>
      </c>
    </row>
    <row r="382" spans="1:22" x14ac:dyDescent="0.3">
      <c r="A382" s="1">
        <v>44837</v>
      </c>
      <c r="B382" t="s">
        <v>22</v>
      </c>
      <c r="C382" t="s">
        <v>23</v>
      </c>
      <c r="D382" t="s">
        <v>32</v>
      </c>
      <c r="E382" t="s">
        <v>33</v>
      </c>
      <c r="F382" t="s">
        <v>43</v>
      </c>
      <c r="G382">
        <v>362</v>
      </c>
      <c r="H382">
        <v>1520</v>
      </c>
      <c r="I382">
        <v>10909.12342</v>
      </c>
      <c r="J382" t="b">
        <v>1</v>
      </c>
      <c r="K382">
        <v>16</v>
      </c>
      <c r="L382" t="b">
        <v>0</v>
      </c>
      <c r="M382">
        <v>15534.381460000001</v>
      </c>
      <c r="N382">
        <v>2332</v>
      </c>
      <c r="O382">
        <v>6115</v>
      </c>
      <c r="P382" t="s">
        <v>36</v>
      </c>
      <c r="Q382">
        <v>0.15523156089193826</v>
      </c>
      <c r="R382" t="s">
        <v>37</v>
      </c>
      <c r="S382">
        <v>30.13570005524862</v>
      </c>
      <c r="T382">
        <v>0.38135731807031886</v>
      </c>
      <c r="U382" t="s">
        <v>34</v>
      </c>
      <c r="V382">
        <v>0</v>
      </c>
    </row>
    <row r="383" spans="1:22" x14ac:dyDescent="0.3">
      <c r="A383" s="1">
        <v>44838</v>
      </c>
      <c r="B383" t="s">
        <v>42</v>
      </c>
      <c r="C383" t="s">
        <v>41</v>
      </c>
      <c r="D383" t="s">
        <v>24</v>
      </c>
      <c r="E383" t="s">
        <v>45</v>
      </c>
      <c r="F383" t="s">
        <v>26</v>
      </c>
      <c r="G383">
        <v>416</v>
      </c>
      <c r="H383">
        <v>3144</v>
      </c>
      <c r="I383">
        <v>14484.266600000001</v>
      </c>
      <c r="J383" t="b">
        <v>1</v>
      </c>
      <c r="K383">
        <v>21</v>
      </c>
      <c r="L383" t="b">
        <v>0</v>
      </c>
      <c r="M383">
        <v>43362.744209999997</v>
      </c>
      <c r="N383">
        <v>3037</v>
      </c>
      <c r="O383">
        <v>7490</v>
      </c>
      <c r="P383" t="s">
        <v>27</v>
      </c>
      <c r="Q383">
        <v>0.13697728021073427</v>
      </c>
      <c r="R383" t="s">
        <v>37</v>
      </c>
      <c r="S383">
        <v>34.817948557692311</v>
      </c>
      <c r="T383">
        <v>0.40547396528704938</v>
      </c>
      <c r="U383" t="s">
        <v>29</v>
      </c>
      <c r="V383">
        <v>0</v>
      </c>
    </row>
    <row r="384" spans="1:22" x14ac:dyDescent="0.3">
      <c r="A384" s="1">
        <v>44839</v>
      </c>
      <c r="B384" t="s">
        <v>30</v>
      </c>
      <c r="C384" t="s">
        <v>44</v>
      </c>
      <c r="D384" t="s">
        <v>32</v>
      </c>
      <c r="E384" t="s">
        <v>33</v>
      </c>
      <c r="F384" t="s">
        <v>26</v>
      </c>
      <c r="G384">
        <v>796</v>
      </c>
      <c r="H384">
        <v>2930</v>
      </c>
      <c r="I384">
        <v>11296.656150000001</v>
      </c>
      <c r="J384" t="b">
        <v>1</v>
      </c>
      <c r="K384">
        <v>19</v>
      </c>
      <c r="L384" t="b">
        <v>0</v>
      </c>
      <c r="M384">
        <v>93806.143800000005</v>
      </c>
      <c r="N384">
        <v>2810.5</v>
      </c>
      <c r="O384">
        <v>9987</v>
      </c>
      <c r="P384" t="s">
        <v>27</v>
      </c>
      <c r="Q384">
        <v>0.28322362568937909</v>
      </c>
      <c r="R384" t="s">
        <v>37</v>
      </c>
      <c r="S384">
        <v>14.191779082914573</v>
      </c>
      <c r="T384">
        <v>0.28141584059277058</v>
      </c>
      <c r="U384" t="s">
        <v>34</v>
      </c>
      <c r="V384">
        <v>0</v>
      </c>
    </row>
    <row r="385" spans="1:22" x14ac:dyDescent="0.3">
      <c r="A385" s="1">
        <v>44840</v>
      </c>
      <c r="B385" t="s">
        <v>22</v>
      </c>
      <c r="C385" t="s">
        <v>41</v>
      </c>
      <c r="D385" t="s">
        <v>35</v>
      </c>
      <c r="E385" t="s">
        <v>25</v>
      </c>
      <c r="F385" t="s">
        <v>26</v>
      </c>
      <c r="G385">
        <v>589</v>
      </c>
      <c r="H385">
        <v>2691</v>
      </c>
      <c r="I385">
        <v>4892.7049340000003</v>
      </c>
      <c r="J385" t="b">
        <v>0</v>
      </c>
      <c r="K385">
        <v>21</v>
      </c>
      <c r="L385" t="b">
        <v>0</v>
      </c>
      <c r="M385">
        <v>52277.887459999998</v>
      </c>
      <c r="N385">
        <v>1559.5</v>
      </c>
      <c r="O385">
        <v>8072</v>
      </c>
      <c r="P385" t="s">
        <v>27</v>
      </c>
      <c r="Q385">
        <v>0.37768515549855725</v>
      </c>
      <c r="R385" t="s">
        <v>37</v>
      </c>
      <c r="S385">
        <v>8.3067995483870973</v>
      </c>
      <c r="T385">
        <v>0.19319871159563926</v>
      </c>
      <c r="U385" t="s">
        <v>34</v>
      </c>
      <c r="V385">
        <v>0</v>
      </c>
    </row>
    <row r="386" spans="1:22" x14ac:dyDescent="0.3">
      <c r="A386" s="1">
        <v>44841</v>
      </c>
      <c r="B386" t="s">
        <v>22</v>
      </c>
      <c r="C386" t="s">
        <v>23</v>
      </c>
      <c r="D386" t="s">
        <v>32</v>
      </c>
      <c r="E386" t="s">
        <v>33</v>
      </c>
      <c r="F386" t="s">
        <v>43</v>
      </c>
      <c r="G386">
        <v>547</v>
      </c>
      <c r="H386">
        <v>428</v>
      </c>
      <c r="I386">
        <v>1734.5827300000001</v>
      </c>
      <c r="J386" t="b">
        <v>1</v>
      </c>
      <c r="K386">
        <v>5</v>
      </c>
      <c r="L386" t="b">
        <v>0</v>
      </c>
      <c r="M386">
        <v>31741.02708</v>
      </c>
      <c r="N386">
        <v>390.5</v>
      </c>
      <c r="O386">
        <v>6340</v>
      </c>
      <c r="P386" t="s">
        <v>27</v>
      </c>
      <c r="Q386">
        <v>1.4007682458386683</v>
      </c>
      <c r="R386" t="s">
        <v>40</v>
      </c>
      <c r="S386">
        <v>3.1710836014625232</v>
      </c>
      <c r="T386">
        <v>6.1593059936908515E-2</v>
      </c>
      <c r="U386" t="s">
        <v>34</v>
      </c>
      <c r="V386">
        <v>0</v>
      </c>
    </row>
    <row r="387" spans="1:22" x14ac:dyDescent="0.3">
      <c r="A387" s="1">
        <v>44842</v>
      </c>
      <c r="B387" t="s">
        <v>42</v>
      </c>
      <c r="C387" t="s">
        <v>44</v>
      </c>
      <c r="D387" t="s">
        <v>24</v>
      </c>
      <c r="E387" t="s">
        <v>25</v>
      </c>
      <c r="F387" t="s">
        <v>26</v>
      </c>
      <c r="G387">
        <v>840</v>
      </c>
      <c r="H387">
        <v>353</v>
      </c>
      <c r="I387">
        <v>8264.2417700000005</v>
      </c>
      <c r="J387" t="b">
        <v>0</v>
      </c>
      <c r="K387">
        <v>14</v>
      </c>
      <c r="L387" t="b">
        <v>0</v>
      </c>
      <c r="M387">
        <v>91581.974440000005</v>
      </c>
      <c r="N387">
        <v>1806</v>
      </c>
      <c r="O387">
        <v>6047</v>
      </c>
      <c r="P387" t="s">
        <v>36</v>
      </c>
      <c r="Q387">
        <v>0.46511627906976744</v>
      </c>
      <c r="R387" t="s">
        <v>28</v>
      </c>
      <c r="S387">
        <v>9.8383830595238102</v>
      </c>
      <c r="T387">
        <v>0.29866049280635026</v>
      </c>
      <c r="U387" t="s">
        <v>34</v>
      </c>
      <c r="V387">
        <v>0</v>
      </c>
    </row>
    <row r="388" spans="1:22" x14ac:dyDescent="0.3">
      <c r="A388" s="1">
        <v>44843</v>
      </c>
      <c r="B388" t="s">
        <v>42</v>
      </c>
      <c r="C388" t="s">
        <v>23</v>
      </c>
      <c r="D388" t="s">
        <v>32</v>
      </c>
      <c r="E388" t="s">
        <v>45</v>
      </c>
      <c r="F388" t="s">
        <v>43</v>
      </c>
      <c r="G388">
        <v>478</v>
      </c>
      <c r="H388">
        <v>3259</v>
      </c>
      <c r="I388">
        <v>1986.1967729999999</v>
      </c>
      <c r="J388" t="b">
        <v>1</v>
      </c>
      <c r="K388">
        <v>9</v>
      </c>
      <c r="L388" t="b">
        <v>0</v>
      </c>
      <c r="M388">
        <v>63174.356500000002</v>
      </c>
      <c r="N388">
        <v>3868</v>
      </c>
      <c r="O388">
        <v>5925</v>
      </c>
      <c r="P388" t="s">
        <v>36</v>
      </c>
      <c r="Q388">
        <v>0.12357807652533609</v>
      </c>
      <c r="R388" t="s">
        <v>28</v>
      </c>
      <c r="S388">
        <v>4.1552233744769875</v>
      </c>
      <c r="T388">
        <v>0.65282700421940931</v>
      </c>
      <c r="U388" t="s">
        <v>29</v>
      </c>
      <c r="V388">
        <v>0</v>
      </c>
    </row>
    <row r="389" spans="1:22" x14ac:dyDescent="0.3">
      <c r="A389" s="1">
        <v>44844</v>
      </c>
      <c r="B389" t="s">
        <v>22</v>
      </c>
      <c r="C389" t="s">
        <v>44</v>
      </c>
      <c r="D389" t="s">
        <v>46</v>
      </c>
      <c r="E389" t="s">
        <v>33</v>
      </c>
      <c r="F389" t="s">
        <v>26</v>
      </c>
      <c r="G389">
        <v>264</v>
      </c>
      <c r="H389">
        <v>4477</v>
      </c>
      <c r="I389">
        <v>2553.4500520000001</v>
      </c>
      <c r="J389" t="b">
        <v>1</v>
      </c>
      <c r="K389">
        <v>8</v>
      </c>
      <c r="L389" t="b">
        <v>0</v>
      </c>
      <c r="M389">
        <v>36585.516309999999</v>
      </c>
      <c r="N389">
        <v>3798</v>
      </c>
      <c r="O389">
        <v>5978</v>
      </c>
      <c r="P389" t="s">
        <v>27</v>
      </c>
      <c r="Q389">
        <v>6.9510268562401265E-2</v>
      </c>
      <c r="R389" t="s">
        <v>28</v>
      </c>
      <c r="S389">
        <v>9.6721592878787881</v>
      </c>
      <c r="T389">
        <v>0.6353295416527267</v>
      </c>
      <c r="U389" t="s">
        <v>29</v>
      </c>
      <c r="V389">
        <v>0</v>
      </c>
    </row>
    <row r="390" spans="1:22" x14ac:dyDescent="0.3">
      <c r="A390" s="1">
        <v>44845</v>
      </c>
      <c r="B390" t="s">
        <v>30</v>
      </c>
      <c r="C390" t="s">
        <v>41</v>
      </c>
      <c r="D390" t="s">
        <v>32</v>
      </c>
      <c r="E390" t="s">
        <v>45</v>
      </c>
      <c r="F390" t="s">
        <v>43</v>
      </c>
      <c r="G390">
        <v>487</v>
      </c>
      <c r="H390">
        <v>3119</v>
      </c>
      <c r="I390">
        <v>6944.3938859999998</v>
      </c>
      <c r="J390" t="b">
        <v>1</v>
      </c>
      <c r="K390">
        <v>24</v>
      </c>
      <c r="L390" t="b">
        <v>0</v>
      </c>
      <c r="M390">
        <v>37852.499329999999</v>
      </c>
      <c r="N390">
        <v>3124</v>
      </c>
      <c r="O390">
        <v>9972</v>
      </c>
      <c r="P390" t="s">
        <v>36</v>
      </c>
      <c r="Q390">
        <v>0.15588988476312421</v>
      </c>
      <c r="R390" t="s">
        <v>37</v>
      </c>
      <c r="S390">
        <v>14.259535700205339</v>
      </c>
      <c r="T390">
        <v>0.31327717609306055</v>
      </c>
      <c r="U390" t="s">
        <v>34</v>
      </c>
      <c r="V390">
        <v>0</v>
      </c>
    </row>
    <row r="391" spans="1:22" x14ac:dyDescent="0.3">
      <c r="A391" s="1">
        <v>44846</v>
      </c>
      <c r="B391" t="s">
        <v>30</v>
      </c>
      <c r="C391" t="s">
        <v>31</v>
      </c>
      <c r="D391" t="s">
        <v>24</v>
      </c>
      <c r="E391" t="s">
        <v>45</v>
      </c>
      <c r="F391" t="s">
        <v>26</v>
      </c>
      <c r="G391">
        <v>397</v>
      </c>
      <c r="H391">
        <v>3129</v>
      </c>
      <c r="I391">
        <v>6067.2316289999999</v>
      </c>
      <c r="J391" t="b">
        <v>1</v>
      </c>
      <c r="K391">
        <v>25</v>
      </c>
      <c r="L391" t="b">
        <v>0</v>
      </c>
      <c r="M391">
        <v>30172.683850000001</v>
      </c>
      <c r="N391">
        <v>2932.5</v>
      </c>
      <c r="O391">
        <v>5133</v>
      </c>
      <c r="P391" t="s">
        <v>27</v>
      </c>
      <c r="Q391">
        <v>0.13537936913895993</v>
      </c>
      <c r="R391" t="s">
        <v>37</v>
      </c>
      <c r="S391">
        <v>15.282699317380352</v>
      </c>
      <c r="T391">
        <v>0.57130333138515488</v>
      </c>
      <c r="U391" t="s">
        <v>29</v>
      </c>
      <c r="V391">
        <v>0</v>
      </c>
    </row>
    <row r="392" spans="1:22" x14ac:dyDescent="0.3">
      <c r="A392" s="1">
        <v>44847</v>
      </c>
      <c r="B392" t="s">
        <v>22</v>
      </c>
      <c r="C392" t="s">
        <v>41</v>
      </c>
      <c r="D392" t="s">
        <v>24</v>
      </c>
      <c r="E392" t="s">
        <v>25</v>
      </c>
      <c r="F392" t="s">
        <v>26</v>
      </c>
      <c r="G392">
        <v>572</v>
      </c>
      <c r="H392">
        <v>2736</v>
      </c>
      <c r="I392">
        <v>1405.4419869999999</v>
      </c>
      <c r="J392" t="b">
        <v>1</v>
      </c>
      <c r="K392">
        <v>7</v>
      </c>
      <c r="L392" t="b">
        <v>0</v>
      </c>
      <c r="M392">
        <v>29031.76613</v>
      </c>
      <c r="N392">
        <v>3799.5</v>
      </c>
      <c r="O392">
        <v>9811</v>
      </c>
      <c r="P392" t="s">
        <v>36</v>
      </c>
      <c r="Q392">
        <v>0.15054612449006449</v>
      </c>
      <c r="R392" t="s">
        <v>40</v>
      </c>
      <c r="S392">
        <v>2.4570664108391607</v>
      </c>
      <c r="T392">
        <v>0.38726939149933748</v>
      </c>
      <c r="U392" t="s">
        <v>34</v>
      </c>
      <c r="V392">
        <v>0</v>
      </c>
    </row>
    <row r="393" spans="1:22" x14ac:dyDescent="0.3">
      <c r="A393" s="1">
        <v>44848</v>
      </c>
      <c r="B393" t="s">
        <v>38</v>
      </c>
      <c r="C393" t="s">
        <v>41</v>
      </c>
      <c r="D393" t="s">
        <v>32</v>
      </c>
      <c r="E393" t="s">
        <v>25</v>
      </c>
      <c r="F393" t="s">
        <v>26</v>
      </c>
      <c r="G393">
        <v>683</v>
      </c>
      <c r="H393">
        <v>4863</v>
      </c>
      <c r="I393">
        <v>7878.8361999999997</v>
      </c>
      <c r="J393" t="b">
        <v>1</v>
      </c>
      <c r="K393">
        <v>20</v>
      </c>
      <c r="L393" t="b">
        <v>0</v>
      </c>
      <c r="M393">
        <v>21824.497080000001</v>
      </c>
      <c r="N393">
        <v>3047</v>
      </c>
      <c r="O393">
        <v>6282</v>
      </c>
      <c r="P393" t="s">
        <v>27</v>
      </c>
      <c r="Q393">
        <v>0.22415490646537578</v>
      </c>
      <c r="R393" t="s">
        <v>37</v>
      </c>
      <c r="S393">
        <v>11.535631332357248</v>
      </c>
      <c r="T393">
        <v>0.48503661254377589</v>
      </c>
      <c r="U393" t="s">
        <v>29</v>
      </c>
      <c r="V393">
        <v>0</v>
      </c>
    </row>
    <row r="394" spans="1:22" x14ac:dyDescent="0.3">
      <c r="A394" s="1">
        <v>44849</v>
      </c>
      <c r="B394" t="s">
        <v>22</v>
      </c>
      <c r="C394" t="s">
        <v>31</v>
      </c>
      <c r="D394" t="s">
        <v>35</v>
      </c>
      <c r="E394" t="s">
        <v>33</v>
      </c>
      <c r="F394" t="s">
        <v>26</v>
      </c>
      <c r="G394">
        <v>415</v>
      </c>
      <c r="H394">
        <v>1231</v>
      </c>
      <c r="I394">
        <v>12155.968349999999</v>
      </c>
      <c r="J394" t="b">
        <v>1</v>
      </c>
      <c r="K394">
        <v>27</v>
      </c>
      <c r="L394" t="b">
        <v>0</v>
      </c>
      <c r="M394">
        <v>69950.026710000006</v>
      </c>
      <c r="N394">
        <v>2174.5</v>
      </c>
      <c r="O394">
        <v>8083</v>
      </c>
      <c r="P394" t="s">
        <v>36</v>
      </c>
      <c r="Q394">
        <v>0.19084847091285354</v>
      </c>
      <c r="R394" t="s">
        <v>37</v>
      </c>
      <c r="S394">
        <v>29.29149</v>
      </c>
      <c r="T394">
        <v>0.26902140294445132</v>
      </c>
      <c r="U394" t="s">
        <v>34</v>
      </c>
      <c r="V394">
        <v>0</v>
      </c>
    </row>
    <row r="395" spans="1:22" x14ac:dyDescent="0.3">
      <c r="A395" s="1">
        <v>44850</v>
      </c>
      <c r="B395" t="s">
        <v>42</v>
      </c>
      <c r="C395" t="s">
        <v>23</v>
      </c>
      <c r="D395" t="s">
        <v>24</v>
      </c>
      <c r="E395" t="s">
        <v>45</v>
      </c>
      <c r="F395" t="s">
        <v>26</v>
      </c>
      <c r="G395">
        <v>56</v>
      </c>
      <c r="H395">
        <v>3118</v>
      </c>
      <c r="I395">
        <v>8347.4546040000005</v>
      </c>
      <c r="J395" t="b">
        <v>1</v>
      </c>
      <c r="K395">
        <v>12</v>
      </c>
      <c r="L395" t="b">
        <v>0</v>
      </c>
      <c r="M395">
        <v>9380.7406210000008</v>
      </c>
      <c r="N395">
        <v>3081.5</v>
      </c>
      <c r="O395">
        <v>5928</v>
      </c>
      <c r="P395" t="s">
        <v>27</v>
      </c>
      <c r="Q395">
        <v>1.8172967710530587E-2</v>
      </c>
      <c r="R395" t="s">
        <v>28</v>
      </c>
      <c r="S395">
        <v>149.06168935714285</v>
      </c>
      <c r="T395">
        <v>0.51982118758434548</v>
      </c>
      <c r="U395" t="s">
        <v>29</v>
      </c>
      <c r="V395">
        <v>0</v>
      </c>
    </row>
    <row r="396" spans="1:22" x14ac:dyDescent="0.3">
      <c r="A396" s="1">
        <v>44851</v>
      </c>
      <c r="B396" t="s">
        <v>42</v>
      </c>
      <c r="C396" t="s">
        <v>31</v>
      </c>
      <c r="D396" t="s">
        <v>46</v>
      </c>
      <c r="E396" t="s">
        <v>33</v>
      </c>
      <c r="F396" t="s">
        <v>43</v>
      </c>
      <c r="G396">
        <v>354</v>
      </c>
      <c r="H396">
        <v>3045</v>
      </c>
      <c r="I396">
        <v>12817.31357</v>
      </c>
      <c r="J396" t="b">
        <v>1</v>
      </c>
      <c r="K396">
        <v>26</v>
      </c>
      <c r="L396" t="b">
        <v>0</v>
      </c>
      <c r="M396">
        <v>44810.092620000003</v>
      </c>
      <c r="N396">
        <v>3402</v>
      </c>
      <c r="O396">
        <v>5058</v>
      </c>
      <c r="P396" t="s">
        <v>36</v>
      </c>
      <c r="Q396">
        <v>0.10405643738977072</v>
      </c>
      <c r="R396" t="s">
        <v>37</v>
      </c>
      <c r="S396">
        <v>36.207100480225989</v>
      </c>
      <c r="T396">
        <v>0.67259786476868333</v>
      </c>
      <c r="U396" t="s">
        <v>29</v>
      </c>
      <c r="V396">
        <v>0</v>
      </c>
    </row>
    <row r="397" spans="1:22" x14ac:dyDescent="0.3">
      <c r="A397" s="1">
        <v>44852</v>
      </c>
      <c r="B397" t="s">
        <v>38</v>
      </c>
      <c r="C397" t="s">
        <v>23</v>
      </c>
      <c r="D397" t="s">
        <v>35</v>
      </c>
      <c r="E397" t="s">
        <v>33</v>
      </c>
      <c r="F397" t="s">
        <v>26</v>
      </c>
      <c r="G397">
        <v>529</v>
      </c>
      <c r="H397">
        <v>3759</v>
      </c>
      <c r="I397">
        <v>9298.4969889999993</v>
      </c>
      <c r="J397" t="b">
        <v>1</v>
      </c>
      <c r="K397">
        <v>27</v>
      </c>
      <c r="L397" t="b">
        <v>0</v>
      </c>
      <c r="M397">
        <v>101950.5018</v>
      </c>
      <c r="N397">
        <v>3592.5</v>
      </c>
      <c r="O397">
        <v>5157</v>
      </c>
      <c r="P397" t="s">
        <v>27</v>
      </c>
      <c r="Q397">
        <v>0.14725121781489214</v>
      </c>
      <c r="R397" t="s">
        <v>37</v>
      </c>
      <c r="S397">
        <v>17.577499034026463</v>
      </c>
      <c r="T397">
        <v>0.6966259453170448</v>
      </c>
      <c r="U397" t="s">
        <v>29</v>
      </c>
      <c r="V397">
        <v>0</v>
      </c>
    </row>
    <row r="398" spans="1:22" x14ac:dyDescent="0.3">
      <c r="A398" s="1">
        <v>44853</v>
      </c>
      <c r="B398" t="s">
        <v>22</v>
      </c>
      <c r="C398" t="s">
        <v>23</v>
      </c>
      <c r="D398" t="s">
        <v>24</v>
      </c>
      <c r="E398" t="s">
        <v>33</v>
      </c>
      <c r="F398" t="s">
        <v>26</v>
      </c>
      <c r="G398">
        <v>124</v>
      </c>
      <c r="H398">
        <v>3426</v>
      </c>
      <c r="I398">
        <v>9518.0826390000002</v>
      </c>
      <c r="J398" t="b">
        <v>1</v>
      </c>
      <c r="K398">
        <v>25</v>
      </c>
      <c r="L398" t="b">
        <v>0</v>
      </c>
      <c r="M398">
        <v>2550.8503350000001</v>
      </c>
      <c r="N398">
        <v>2399.5</v>
      </c>
      <c r="O398">
        <v>9123</v>
      </c>
      <c r="P398" t="s">
        <v>27</v>
      </c>
      <c r="Q398">
        <v>5.1677432798499685E-2</v>
      </c>
      <c r="R398" t="s">
        <v>37</v>
      </c>
      <c r="S398">
        <v>76.758730959677422</v>
      </c>
      <c r="T398">
        <v>0.26301655157294751</v>
      </c>
      <c r="U398" t="s">
        <v>34</v>
      </c>
      <c r="V398">
        <v>0</v>
      </c>
    </row>
    <row r="399" spans="1:22" x14ac:dyDescent="0.3">
      <c r="A399" s="1">
        <v>44854</v>
      </c>
      <c r="B399" t="s">
        <v>22</v>
      </c>
      <c r="C399" t="s">
        <v>44</v>
      </c>
      <c r="D399" t="s">
        <v>32</v>
      </c>
      <c r="E399" t="s">
        <v>25</v>
      </c>
      <c r="F399" t="s">
        <v>26</v>
      </c>
      <c r="G399">
        <v>309</v>
      </c>
      <c r="H399">
        <v>1373</v>
      </c>
      <c r="I399">
        <v>11738.686100000001</v>
      </c>
      <c r="J399" t="b">
        <v>1</v>
      </c>
      <c r="K399">
        <v>23</v>
      </c>
      <c r="L399" t="b">
        <v>0</v>
      </c>
      <c r="M399">
        <v>24856.449769999999</v>
      </c>
      <c r="N399">
        <v>2205.5</v>
      </c>
      <c r="O399">
        <v>8745</v>
      </c>
      <c r="P399" t="s">
        <v>36</v>
      </c>
      <c r="Q399">
        <v>0.14010428474268874</v>
      </c>
      <c r="R399" t="s">
        <v>37</v>
      </c>
      <c r="S399">
        <v>37.989275404530744</v>
      </c>
      <c r="T399">
        <v>0.25220125786163522</v>
      </c>
      <c r="U399" t="s">
        <v>34</v>
      </c>
      <c r="V399">
        <v>0</v>
      </c>
    </row>
    <row r="400" spans="1:22" x14ac:dyDescent="0.3">
      <c r="A400" s="1">
        <v>44855</v>
      </c>
      <c r="B400" t="s">
        <v>38</v>
      </c>
      <c r="C400" t="s">
        <v>23</v>
      </c>
      <c r="D400" t="s">
        <v>24</v>
      </c>
      <c r="E400" t="s">
        <v>45</v>
      </c>
      <c r="F400" t="s">
        <v>26</v>
      </c>
      <c r="G400">
        <v>679</v>
      </c>
      <c r="H400">
        <v>3038</v>
      </c>
      <c r="I400">
        <v>14443.385</v>
      </c>
      <c r="J400" t="b">
        <v>1</v>
      </c>
      <c r="K400">
        <v>3</v>
      </c>
      <c r="L400" t="b">
        <v>0</v>
      </c>
      <c r="M400">
        <v>110831.2711</v>
      </c>
      <c r="N400">
        <v>2900.5</v>
      </c>
      <c r="O400">
        <v>9421</v>
      </c>
      <c r="P400" t="s">
        <v>27</v>
      </c>
      <c r="Q400">
        <v>0.23409756938458887</v>
      </c>
      <c r="R400" t="s">
        <v>40</v>
      </c>
      <c r="S400">
        <v>21.271553755522827</v>
      </c>
      <c r="T400">
        <v>0.30787602165375227</v>
      </c>
      <c r="U400" t="s">
        <v>34</v>
      </c>
      <c r="V400">
        <v>0</v>
      </c>
    </row>
    <row r="401" spans="1:22" x14ac:dyDescent="0.3">
      <c r="A401" s="1">
        <v>44856</v>
      </c>
      <c r="B401" t="s">
        <v>22</v>
      </c>
      <c r="C401" t="s">
        <v>31</v>
      </c>
      <c r="D401" t="s">
        <v>35</v>
      </c>
      <c r="E401" t="s">
        <v>45</v>
      </c>
      <c r="F401" t="s">
        <v>26</v>
      </c>
      <c r="G401">
        <v>165</v>
      </c>
      <c r="H401">
        <v>2763</v>
      </c>
      <c r="I401">
        <v>12615.333259999999</v>
      </c>
      <c r="J401" t="b">
        <v>1</v>
      </c>
      <c r="K401">
        <v>23</v>
      </c>
      <c r="L401" t="b">
        <v>0</v>
      </c>
      <c r="M401">
        <v>12280.793100000001</v>
      </c>
      <c r="N401">
        <v>2341.5</v>
      </c>
      <c r="O401">
        <v>5807</v>
      </c>
      <c r="P401" t="s">
        <v>27</v>
      </c>
      <c r="Q401">
        <v>7.0467648942985267E-2</v>
      </c>
      <c r="R401" t="s">
        <v>37</v>
      </c>
      <c r="S401">
        <v>76.456565212121205</v>
      </c>
      <c r="T401">
        <v>0.40322025142069917</v>
      </c>
      <c r="U401" t="s">
        <v>29</v>
      </c>
      <c r="V401">
        <v>0</v>
      </c>
    </row>
    <row r="402" spans="1:22" x14ac:dyDescent="0.3">
      <c r="A402" s="1">
        <v>44857</v>
      </c>
      <c r="B402" t="s">
        <v>30</v>
      </c>
      <c r="C402" t="s">
        <v>41</v>
      </c>
      <c r="D402" t="s">
        <v>32</v>
      </c>
      <c r="E402" t="s">
        <v>33</v>
      </c>
      <c r="F402" t="s">
        <v>26</v>
      </c>
      <c r="G402">
        <v>615</v>
      </c>
      <c r="H402">
        <v>1920</v>
      </c>
      <c r="I402">
        <v>7064.9378969999998</v>
      </c>
      <c r="J402" t="b">
        <v>1</v>
      </c>
      <c r="K402">
        <v>28</v>
      </c>
      <c r="L402" t="b">
        <v>0</v>
      </c>
      <c r="M402">
        <v>56375.752370000002</v>
      </c>
      <c r="N402">
        <v>1691</v>
      </c>
      <c r="O402">
        <v>5162</v>
      </c>
      <c r="P402" t="s">
        <v>27</v>
      </c>
      <c r="Q402">
        <v>0.36369012418687169</v>
      </c>
      <c r="R402" t="s">
        <v>37</v>
      </c>
      <c r="S402">
        <v>11.487703897560975</v>
      </c>
      <c r="T402">
        <v>0.32758620689655171</v>
      </c>
      <c r="U402" t="s">
        <v>34</v>
      </c>
      <c r="V402">
        <v>0</v>
      </c>
    </row>
    <row r="403" spans="1:22" x14ac:dyDescent="0.3">
      <c r="A403" s="1">
        <v>44858</v>
      </c>
      <c r="B403" t="s">
        <v>22</v>
      </c>
      <c r="C403" t="s">
        <v>31</v>
      </c>
      <c r="D403" t="s">
        <v>24</v>
      </c>
      <c r="E403" t="s">
        <v>33</v>
      </c>
      <c r="F403" t="s">
        <v>39</v>
      </c>
      <c r="G403">
        <v>167</v>
      </c>
      <c r="H403">
        <v>1462</v>
      </c>
      <c r="I403">
        <v>10134.144910000001</v>
      </c>
      <c r="J403" t="b">
        <v>1</v>
      </c>
      <c r="K403">
        <v>26</v>
      </c>
      <c r="L403" t="b">
        <v>0</v>
      </c>
      <c r="M403">
        <v>28995.628840000001</v>
      </c>
      <c r="N403">
        <v>2407.5</v>
      </c>
      <c r="O403">
        <v>7383</v>
      </c>
      <c r="P403" t="s">
        <v>36</v>
      </c>
      <c r="Q403">
        <v>6.9366562824506747E-2</v>
      </c>
      <c r="R403" t="s">
        <v>37</v>
      </c>
      <c r="S403">
        <v>60.683502455089823</v>
      </c>
      <c r="T403">
        <v>0.32608695652173914</v>
      </c>
      <c r="U403" t="s">
        <v>34</v>
      </c>
      <c r="V403">
        <v>0</v>
      </c>
    </row>
    <row r="404" spans="1:22" x14ac:dyDescent="0.3">
      <c r="A404" s="1">
        <v>44859</v>
      </c>
      <c r="B404" t="s">
        <v>30</v>
      </c>
      <c r="C404" t="s">
        <v>41</v>
      </c>
      <c r="D404" t="s">
        <v>24</v>
      </c>
      <c r="E404" t="s">
        <v>25</v>
      </c>
      <c r="F404" t="s">
        <v>43</v>
      </c>
      <c r="G404">
        <v>430</v>
      </c>
      <c r="H404">
        <v>3353</v>
      </c>
      <c r="I404">
        <v>10227.540859999999</v>
      </c>
      <c r="J404" t="b">
        <v>1</v>
      </c>
      <c r="K404">
        <v>3</v>
      </c>
      <c r="L404" t="b">
        <v>0</v>
      </c>
      <c r="M404">
        <v>53023.762739999998</v>
      </c>
      <c r="N404">
        <v>3467</v>
      </c>
      <c r="O404">
        <v>8230</v>
      </c>
      <c r="P404" t="s">
        <v>36</v>
      </c>
      <c r="Q404">
        <v>0.12402653591000866</v>
      </c>
      <c r="R404" t="s">
        <v>40</v>
      </c>
      <c r="S404">
        <v>23.784978744186045</v>
      </c>
      <c r="T404">
        <v>0.42126366950182259</v>
      </c>
      <c r="U404" t="s">
        <v>29</v>
      </c>
      <c r="V404">
        <v>0</v>
      </c>
    </row>
    <row r="405" spans="1:22" x14ac:dyDescent="0.3">
      <c r="A405" s="1">
        <v>44860</v>
      </c>
      <c r="B405" t="s">
        <v>22</v>
      </c>
      <c r="C405" t="s">
        <v>44</v>
      </c>
      <c r="D405" t="s">
        <v>32</v>
      </c>
      <c r="E405" t="s">
        <v>25</v>
      </c>
      <c r="F405" t="s">
        <v>43</v>
      </c>
      <c r="G405">
        <v>650</v>
      </c>
      <c r="H405">
        <v>3581</v>
      </c>
      <c r="I405">
        <v>14142.75864</v>
      </c>
      <c r="J405" t="b">
        <v>1</v>
      </c>
      <c r="K405">
        <v>18</v>
      </c>
      <c r="L405" t="b">
        <v>0</v>
      </c>
      <c r="M405">
        <v>18045.951219999999</v>
      </c>
      <c r="N405">
        <v>1842.5</v>
      </c>
      <c r="O405">
        <v>9341</v>
      </c>
      <c r="P405" t="s">
        <v>27</v>
      </c>
      <c r="Q405">
        <v>0.35278154681139756</v>
      </c>
      <c r="R405" t="s">
        <v>37</v>
      </c>
      <c r="S405">
        <v>21.758090215384616</v>
      </c>
      <c r="T405">
        <v>0.19724868857724012</v>
      </c>
      <c r="U405" t="s">
        <v>34</v>
      </c>
      <c r="V405">
        <v>0</v>
      </c>
    </row>
    <row r="406" spans="1:22" x14ac:dyDescent="0.3">
      <c r="A406" s="1">
        <v>44861</v>
      </c>
      <c r="B406" t="s">
        <v>30</v>
      </c>
      <c r="C406" t="s">
        <v>41</v>
      </c>
      <c r="D406" t="s">
        <v>32</v>
      </c>
      <c r="E406" t="s">
        <v>45</v>
      </c>
      <c r="F406" t="s">
        <v>43</v>
      </c>
      <c r="G406">
        <v>318</v>
      </c>
      <c r="H406">
        <v>104</v>
      </c>
      <c r="I406">
        <v>13542.935090000001</v>
      </c>
      <c r="J406" t="b">
        <v>1</v>
      </c>
      <c r="K406">
        <v>26</v>
      </c>
      <c r="L406" t="b">
        <v>0</v>
      </c>
      <c r="M406">
        <v>56018.97913</v>
      </c>
      <c r="N406">
        <v>2178</v>
      </c>
      <c r="O406">
        <v>5169</v>
      </c>
      <c r="P406" t="s">
        <v>36</v>
      </c>
      <c r="Q406">
        <v>0.14600550964187328</v>
      </c>
      <c r="R406" t="s">
        <v>37</v>
      </c>
      <c r="S406">
        <v>42.587846194968556</v>
      </c>
      <c r="T406">
        <v>0.42135809634358679</v>
      </c>
      <c r="U406" t="s">
        <v>29</v>
      </c>
      <c r="V406">
        <v>0</v>
      </c>
    </row>
    <row r="407" spans="1:22" x14ac:dyDescent="0.3">
      <c r="A407" s="1">
        <v>44862</v>
      </c>
      <c r="B407" t="s">
        <v>22</v>
      </c>
      <c r="C407" t="s">
        <v>41</v>
      </c>
      <c r="D407" t="s">
        <v>46</v>
      </c>
      <c r="E407" t="s">
        <v>33</v>
      </c>
      <c r="F407" t="s">
        <v>26</v>
      </c>
      <c r="G407">
        <v>938</v>
      </c>
      <c r="H407">
        <v>4252</v>
      </c>
      <c r="I407">
        <v>5443.7431239999996</v>
      </c>
      <c r="J407" t="b">
        <v>1</v>
      </c>
      <c r="K407">
        <v>13</v>
      </c>
      <c r="L407" t="b">
        <v>0</v>
      </c>
      <c r="M407">
        <v>139323.77739999999</v>
      </c>
      <c r="N407">
        <v>3139.5</v>
      </c>
      <c r="O407">
        <v>7949</v>
      </c>
      <c r="P407" t="s">
        <v>27</v>
      </c>
      <c r="Q407">
        <v>0.29877369007803789</v>
      </c>
      <c r="R407" t="s">
        <v>28</v>
      </c>
      <c r="S407">
        <v>5.803564098081023</v>
      </c>
      <c r="T407">
        <v>0.39495534029437668</v>
      </c>
      <c r="U407" t="s">
        <v>34</v>
      </c>
      <c r="V407">
        <v>0</v>
      </c>
    </row>
    <row r="408" spans="1:22" x14ac:dyDescent="0.3">
      <c r="A408" s="1">
        <v>44863</v>
      </c>
      <c r="B408" t="s">
        <v>42</v>
      </c>
      <c r="C408" t="s">
        <v>41</v>
      </c>
      <c r="D408" t="s">
        <v>24</v>
      </c>
      <c r="E408" t="s">
        <v>45</v>
      </c>
      <c r="F408" t="s">
        <v>39</v>
      </c>
      <c r="G408">
        <v>769</v>
      </c>
      <c r="H408">
        <v>2027</v>
      </c>
      <c r="I408">
        <v>13021.573640000001</v>
      </c>
      <c r="J408" t="b">
        <v>1</v>
      </c>
      <c r="K408">
        <v>26</v>
      </c>
      <c r="L408" t="b">
        <v>0</v>
      </c>
      <c r="M408">
        <v>77040.391640000002</v>
      </c>
      <c r="N408">
        <v>1336</v>
      </c>
      <c r="O408">
        <v>5429</v>
      </c>
      <c r="P408" t="s">
        <v>27</v>
      </c>
      <c r="Q408">
        <v>0.57559880239520955</v>
      </c>
      <c r="R408" t="s">
        <v>37</v>
      </c>
      <c r="S408">
        <v>16.93312566970091</v>
      </c>
      <c r="T408">
        <v>0.24608583532878983</v>
      </c>
      <c r="U408" t="s">
        <v>34</v>
      </c>
      <c r="V408">
        <v>0</v>
      </c>
    </row>
    <row r="409" spans="1:22" x14ac:dyDescent="0.3">
      <c r="A409" s="1">
        <v>44864</v>
      </c>
      <c r="B409" t="s">
        <v>22</v>
      </c>
      <c r="C409" t="s">
        <v>31</v>
      </c>
      <c r="D409" t="s">
        <v>35</v>
      </c>
      <c r="E409" t="s">
        <v>25</v>
      </c>
      <c r="F409" t="s">
        <v>26</v>
      </c>
      <c r="G409">
        <v>649</v>
      </c>
      <c r="H409">
        <v>645</v>
      </c>
      <c r="I409">
        <v>1237.3746430000001</v>
      </c>
      <c r="J409" t="b">
        <v>1</v>
      </c>
      <c r="K409">
        <v>18</v>
      </c>
      <c r="L409" t="b">
        <v>0</v>
      </c>
      <c r="M409">
        <v>114000.7837</v>
      </c>
      <c r="N409">
        <v>2816</v>
      </c>
      <c r="O409">
        <v>7376</v>
      </c>
      <c r="P409" t="s">
        <v>36</v>
      </c>
      <c r="Q409">
        <v>0.23046875</v>
      </c>
      <c r="R409" t="s">
        <v>37</v>
      </c>
      <c r="S409">
        <v>1.9065865069337444</v>
      </c>
      <c r="T409">
        <v>0.38177874186550975</v>
      </c>
      <c r="U409" t="s">
        <v>34</v>
      </c>
      <c r="V409">
        <v>0</v>
      </c>
    </row>
    <row r="410" spans="1:22" x14ac:dyDescent="0.3">
      <c r="A410" s="1">
        <v>44865</v>
      </c>
      <c r="B410" t="s">
        <v>42</v>
      </c>
      <c r="C410" t="s">
        <v>31</v>
      </c>
      <c r="D410" t="s">
        <v>32</v>
      </c>
      <c r="E410" t="s">
        <v>45</v>
      </c>
      <c r="F410" t="s">
        <v>26</v>
      </c>
      <c r="G410">
        <v>870</v>
      </c>
      <c r="H410">
        <v>4987</v>
      </c>
      <c r="I410">
        <v>13593.90417</v>
      </c>
      <c r="J410" t="b">
        <v>1</v>
      </c>
      <c r="K410">
        <v>27</v>
      </c>
      <c r="L410" t="b">
        <v>1</v>
      </c>
      <c r="M410">
        <v>146852.10649999999</v>
      </c>
      <c r="N410">
        <v>3637</v>
      </c>
      <c r="O410">
        <v>9454</v>
      </c>
      <c r="P410" t="s">
        <v>27</v>
      </c>
      <c r="Q410">
        <v>0.23920813857574924</v>
      </c>
      <c r="R410" t="s">
        <v>37</v>
      </c>
      <c r="S410">
        <v>15.625177206896552</v>
      </c>
      <c r="T410">
        <v>0.3847048868203935</v>
      </c>
      <c r="U410" t="s">
        <v>34</v>
      </c>
      <c r="V410">
        <v>1</v>
      </c>
    </row>
    <row r="411" spans="1:22" x14ac:dyDescent="0.3">
      <c r="A411" s="1">
        <v>44866</v>
      </c>
      <c r="B411" t="s">
        <v>38</v>
      </c>
      <c r="C411" t="s">
        <v>23</v>
      </c>
      <c r="D411" t="s">
        <v>46</v>
      </c>
      <c r="E411" t="s">
        <v>45</v>
      </c>
      <c r="F411" t="s">
        <v>26</v>
      </c>
      <c r="G411">
        <v>95</v>
      </c>
      <c r="H411">
        <v>2287</v>
      </c>
      <c r="I411">
        <v>7199.570471</v>
      </c>
      <c r="J411" t="b">
        <v>0</v>
      </c>
      <c r="K411">
        <v>10</v>
      </c>
      <c r="L411" t="b">
        <v>0</v>
      </c>
      <c r="M411">
        <v>4064.2125339999998</v>
      </c>
      <c r="N411">
        <v>2633.5</v>
      </c>
      <c r="O411">
        <v>7628</v>
      </c>
      <c r="P411" t="s">
        <v>36</v>
      </c>
      <c r="Q411">
        <v>3.6073666223656729E-2</v>
      </c>
      <c r="R411" t="s">
        <v>28</v>
      </c>
      <c r="S411">
        <v>75.784952326315789</v>
      </c>
      <c r="T411">
        <v>0.34524121657052964</v>
      </c>
      <c r="U411" t="s">
        <v>34</v>
      </c>
      <c r="V411">
        <v>0</v>
      </c>
    </row>
    <row r="412" spans="1:22" x14ac:dyDescent="0.3">
      <c r="A412" s="1">
        <v>44867</v>
      </c>
      <c r="B412" t="s">
        <v>30</v>
      </c>
      <c r="C412" t="s">
        <v>41</v>
      </c>
      <c r="D412" t="s">
        <v>46</v>
      </c>
      <c r="E412" t="s">
        <v>33</v>
      </c>
      <c r="F412" t="s">
        <v>26</v>
      </c>
      <c r="G412">
        <v>470</v>
      </c>
      <c r="H412">
        <v>2980</v>
      </c>
      <c r="I412">
        <v>3263.3526740000002</v>
      </c>
      <c r="J412" t="b">
        <v>1</v>
      </c>
      <c r="K412">
        <v>23</v>
      </c>
      <c r="L412" t="b">
        <v>0</v>
      </c>
      <c r="M412">
        <v>16981.321049999999</v>
      </c>
      <c r="N412">
        <v>3230.5</v>
      </c>
      <c r="O412">
        <v>7092</v>
      </c>
      <c r="P412" t="s">
        <v>36</v>
      </c>
      <c r="Q412">
        <v>0.14548831450239902</v>
      </c>
      <c r="R412" t="s">
        <v>37</v>
      </c>
      <c r="S412">
        <v>6.9433035617021277</v>
      </c>
      <c r="T412">
        <v>0.45551325437112239</v>
      </c>
      <c r="U412" t="s">
        <v>29</v>
      </c>
      <c r="V412">
        <v>0</v>
      </c>
    </row>
    <row r="413" spans="1:22" x14ac:dyDescent="0.3">
      <c r="A413" s="1">
        <v>44868</v>
      </c>
      <c r="B413" t="s">
        <v>42</v>
      </c>
      <c r="C413" t="s">
        <v>31</v>
      </c>
      <c r="D413" t="s">
        <v>46</v>
      </c>
      <c r="E413" t="s">
        <v>25</v>
      </c>
      <c r="F413" t="s">
        <v>43</v>
      </c>
      <c r="G413">
        <v>678</v>
      </c>
      <c r="H413">
        <v>3481</v>
      </c>
      <c r="I413">
        <v>8035.4329520000001</v>
      </c>
      <c r="J413" t="b">
        <v>1</v>
      </c>
      <c r="K413">
        <v>3</v>
      </c>
      <c r="L413" t="b">
        <v>0</v>
      </c>
      <c r="M413">
        <v>134639.1146</v>
      </c>
      <c r="N413">
        <v>2441.5</v>
      </c>
      <c r="O413">
        <v>8652</v>
      </c>
      <c r="P413" t="s">
        <v>27</v>
      </c>
      <c r="Q413">
        <v>0.27769813639156254</v>
      </c>
      <c r="R413" t="s">
        <v>40</v>
      </c>
      <c r="S413">
        <v>11.851671020648968</v>
      </c>
      <c r="T413">
        <v>0.28218908922792418</v>
      </c>
      <c r="U413" t="s">
        <v>34</v>
      </c>
      <c r="V413">
        <v>0</v>
      </c>
    </row>
    <row r="414" spans="1:22" x14ac:dyDescent="0.3">
      <c r="A414" s="1">
        <v>44869</v>
      </c>
      <c r="B414" t="s">
        <v>42</v>
      </c>
      <c r="C414" t="s">
        <v>23</v>
      </c>
      <c r="D414" t="s">
        <v>32</v>
      </c>
      <c r="E414" t="s">
        <v>25</v>
      </c>
      <c r="F414" t="s">
        <v>43</v>
      </c>
      <c r="G414">
        <v>612</v>
      </c>
      <c r="H414">
        <v>1402</v>
      </c>
      <c r="I414">
        <v>7358.363609</v>
      </c>
      <c r="J414" t="b">
        <v>1</v>
      </c>
      <c r="K414">
        <v>19</v>
      </c>
      <c r="L414" t="b">
        <v>0</v>
      </c>
      <c r="M414">
        <v>78238.914319999996</v>
      </c>
      <c r="N414">
        <v>1227.5</v>
      </c>
      <c r="O414">
        <v>6676</v>
      </c>
      <c r="P414" t="s">
        <v>27</v>
      </c>
      <c r="Q414">
        <v>0.49857433808553969</v>
      </c>
      <c r="R414" t="s">
        <v>37</v>
      </c>
      <c r="S414">
        <v>12.023469949346405</v>
      </c>
      <c r="T414">
        <v>0.18386758538046735</v>
      </c>
      <c r="U414" t="s">
        <v>34</v>
      </c>
      <c r="V414">
        <v>0</v>
      </c>
    </row>
    <row r="415" spans="1:22" x14ac:dyDescent="0.3">
      <c r="A415" s="1">
        <v>44870</v>
      </c>
      <c r="B415" t="s">
        <v>30</v>
      </c>
      <c r="C415" t="s">
        <v>44</v>
      </c>
      <c r="D415" t="s">
        <v>35</v>
      </c>
      <c r="E415" t="s">
        <v>45</v>
      </c>
      <c r="F415" t="s">
        <v>39</v>
      </c>
      <c r="G415">
        <v>988</v>
      </c>
      <c r="H415">
        <v>1053</v>
      </c>
      <c r="I415">
        <v>13300.93586</v>
      </c>
      <c r="J415" t="b">
        <v>0</v>
      </c>
      <c r="K415">
        <v>16</v>
      </c>
      <c r="L415" t="b">
        <v>0</v>
      </c>
      <c r="M415">
        <v>187153.35759999999</v>
      </c>
      <c r="N415">
        <v>2994.5</v>
      </c>
      <c r="O415">
        <v>5711</v>
      </c>
      <c r="P415" t="s">
        <v>36</v>
      </c>
      <c r="Q415">
        <v>0.32993822007012857</v>
      </c>
      <c r="R415" t="s">
        <v>37</v>
      </c>
      <c r="S415">
        <v>13.462485688259109</v>
      </c>
      <c r="T415">
        <v>0.52433899492208025</v>
      </c>
      <c r="U415" t="s">
        <v>29</v>
      </c>
      <c r="V415">
        <v>0</v>
      </c>
    </row>
    <row r="416" spans="1:22" x14ac:dyDescent="0.3">
      <c r="A416" s="1">
        <v>44871</v>
      </c>
      <c r="B416" t="s">
        <v>22</v>
      </c>
      <c r="C416" t="s">
        <v>44</v>
      </c>
      <c r="D416" t="s">
        <v>46</v>
      </c>
      <c r="E416" t="s">
        <v>45</v>
      </c>
      <c r="F416" t="s">
        <v>39</v>
      </c>
      <c r="G416">
        <v>701</v>
      </c>
      <c r="H416">
        <v>4936</v>
      </c>
      <c r="I416">
        <v>14865.857739999999</v>
      </c>
      <c r="J416" t="b">
        <v>1</v>
      </c>
      <c r="K416">
        <v>19</v>
      </c>
      <c r="L416" t="b">
        <v>0</v>
      </c>
      <c r="M416">
        <v>42272.484559999997</v>
      </c>
      <c r="N416">
        <v>3999</v>
      </c>
      <c r="O416">
        <v>8832</v>
      </c>
      <c r="P416" t="s">
        <v>27</v>
      </c>
      <c r="Q416">
        <v>0.17529382345586397</v>
      </c>
      <c r="R416" t="s">
        <v>37</v>
      </c>
      <c r="S416">
        <v>21.206644422253923</v>
      </c>
      <c r="T416">
        <v>0.45278532608695654</v>
      </c>
      <c r="U416" t="s">
        <v>29</v>
      </c>
      <c r="V416">
        <v>0</v>
      </c>
    </row>
    <row r="417" spans="1:22" x14ac:dyDescent="0.3">
      <c r="A417" s="1">
        <v>44872</v>
      </c>
      <c r="B417" t="s">
        <v>38</v>
      </c>
      <c r="C417" t="s">
        <v>44</v>
      </c>
      <c r="D417" t="s">
        <v>32</v>
      </c>
      <c r="E417" t="s">
        <v>25</v>
      </c>
      <c r="F417" t="s">
        <v>26</v>
      </c>
      <c r="G417">
        <v>927</v>
      </c>
      <c r="H417">
        <v>3062</v>
      </c>
      <c r="I417">
        <v>10260.11455</v>
      </c>
      <c r="J417" t="b">
        <v>0</v>
      </c>
      <c r="K417">
        <v>19</v>
      </c>
      <c r="L417" t="b">
        <v>0</v>
      </c>
      <c r="M417">
        <v>162254.23749999999</v>
      </c>
      <c r="N417">
        <v>3137.5</v>
      </c>
      <c r="O417">
        <v>8141</v>
      </c>
      <c r="P417" t="s">
        <v>36</v>
      </c>
      <c r="Q417">
        <v>0.29545816733067731</v>
      </c>
      <c r="R417" t="s">
        <v>37</v>
      </c>
      <c r="S417">
        <v>11.068084735706581</v>
      </c>
      <c r="T417">
        <v>0.38539491462965236</v>
      </c>
      <c r="U417" t="s">
        <v>34</v>
      </c>
      <c r="V417">
        <v>0</v>
      </c>
    </row>
    <row r="418" spans="1:22" x14ac:dyDescent="0.3">
      <c r="A418" s="1">
        <v>44873</v>
      </c>
      <c r="B418" t="s">
        <v>42</v>
      </c>
      <c r="C418" t="s">
        <v>31</v>
      </c>
      <c r="D418" t="s">
        <v>32</v>
      </c>
      <c r="E418" t="s">
        <v>33</v>
      </c>
      <c r="F418" t="s">
        <v>43</v>
      </c>
      <c r="G418">
        <v>919</v>
      </c>
      <c r="H418">
        <v>3213</v>
      </c>
      <c r="I418">
        <v>13805.2101</v>
      </c>
      <c r="J418" t="b">
        <v>0</v>
      </c>
      <c r="K418">
        <v>6</v>
      </c>
      <c r="L418" t="b">
        <v>0</v>
      </c>
      <c r="M418">
        <v>110651.71950000001</v>
      </c>
      <c r="N418">
        <v>3596</v>
      </c>
      <c r="O418">
        <v>6345</v>
      </c>
      <c r="P418" t="s">
        <v>36</v>
      </c>
      <c r="Q418">
        <v>0.25556173526140158</v>
      </c>
      <c r="R418" t="s">
        <v>40</v>
      </c>
      <c r="S418">
        <v>15.021991403699674</v>
      </c>
      <c r="T418">
        <v>0.56674546887312849</v>
      </c>
      <c r="U418" t="s">
        <v>29</v>
      </c>
      <c r="V418">
        <v>0</v>
      </c>
    </row>
    <row r="419" spans="1:22" x14ac:dyDescent="0.3">
      <c r="A419" s="1">
        <v>44874</v>
      </c>
      <c r="B419" t="s">
        <v>42</v>
      </c>
      <c r="C419" t="s">
        <v>23</v>
      </c>
      <c r="D419" t="s">
        <v>35</v>
      </c>
      <c r="E419" t="s">
        <v>45</v>
      </c>
      <c r="F419" t="s">
        <v>43</v>
      </c>
      <c r="G419">
        <v>715</v>
      </c>
      <c r="H419">
        <v>3979</v>
      </c>
      <c r="I419">
        <v>1039.714716</v>
      </c>
      <c r="J419" t="b">
        <v>1</v>
      </c>
      <c r="K419">
        <v>22</v>
      </c>
      <c r="L419" t="b">
        <v>0</v>
      </c>
      <c r="M419">
        <v>55779.684829999998</v>
      </c>
      <c r="N419">
        <v>4349.5</v>
      </c>
      <c r="O419">
        <v>6555</v>
      </c>
      <c r="P419" t="s">
        <v>36</v>
      </c>
      <c r="Q419">
        <v>0.16438671111622025</v>
      </c>
      <c r="R419" t="s">
        <v>37</v>
      </c>
      <c r="S419">
        <v>1.4541464559440558</v>
      </c>
      <c r="T419">
        <v>0.66353928299008391</v>
      </c>
      <c r="U419" t="s">
        <v>29</v>
      </c>
      <c r="V419">
        <v>0</v>
      </c>
    </row>
    <row r="420" spans="1:22" x14ac:dyDescent="0.3">
      <c r="A420" s="1">
        <v>44875</v>
      </c>
      <c r="B420" t="s">
        <v>30</v>
      </c>
      <c r="C420" t="s">
        <v>23</v>
      </c>
      <c r="D420" t="s">
        <v>35</v>
      </c>
      <c r="E420" t="s">
        <v>25</v>
      </c>
      <c r="F420" t="s">
        <v>26</v>
      </c>
      <c r="G420">
        <v>957</v>
      </c>
      <c r="H420">
        <v>4720</v>
      </c>
      <c r="I420">
        <v>6135.1487109999998</v>
      </c>
      <c r="J420" t="b">
        <v>1</v>
      </c>
      <c r="K420">
        <v>12</v>
      </c>
      <c r="L420" t="b">
        <v>0</v>
      </c>
      <c r="M420">
        <v>76005.058300000004</v>
      </c>
      <c r="N420">
        <v>2881</v>
      </c>
      <c r="O420">
        <v>6400</v>
      </c>
      <c r="P420" t="s">
        <v>27</v>
      </c>
      <c r="Q420">
        <v>0.33217632766400557</v>
      </c>
      <c r="R420" t="s">
        <v>28</v>
      </c>
      <c r="S420">
        <v>6.4108137001044927</v>
      </c>
      <c r="T420">
        <v>0.45015624999999998</v>
      </c>
      <c r="U420" t="s">
        <v>29</v>
      </c>
      <c r="V420">
        <v>0</v>
      </c>
    </row>
    <row r="421" spans="1:22" x14ac:dyDescent="0.3">
      <c r="A421" s="1">
        <v>44876</v>
      </c>
      <c r="B421" t="s">
        <v>22</v>
      </c>
      <c r="C421" t="s">
        <v>41</v>
      </c>
      <c r="D421" t="s">
        <v>24</v>
      </c>
      <c r="E421" t="s">
        <v>33</v>
      </c>
      <c r="F421" t="s">
        <v>26</v>
      </c>
      <c r="G421">
        <v>970</v>
      </c>
      <c r="H421">
        <v>1042</v>
      </c>
      <c r="I421">
        <v>2176.2813540000002</v>
      </c>
      <c r="J421" t="b">
        <v>1</v>
      </c>
      <c r="K421">
        <v>1</v>
      </c>
      <c r="L421" t="b">
        <v>0</v>
      </c>
      <c r="M421">
        <v>155633.27919999999</v>
      </c>
      <c r="N421">
        <v>2188.5</v>
      </c>
      <c r="O421">
        <v>8275</v>
      </c>
      <c r="P421" t="s">
        <v>36</v>
      </c>
      <c r="Q421">
        <v>0.44322595384966873</v>
      </c>
      <c r="R421" t="s">
        <v>40</v>
      </c>
      <c r="S421">
        <v>2.2435890247422683</v>
      </c>
      <c r="T421">
        <v>0.26447129909365558</v>
      </c>
      <c r="U421" t="s">
        <v>34</v>
      </c>
      <c r="V421">
        <v>0</v>
      </c>
    </row>
    <row r="422" spans="1:22" x14ac:dyDescent="0.3">
      <c r="A422" s="1">
        <v>44877</v>
      </c>
      <c r="B422" t="s">
        <v>30</v>
      </c>
      <c r="C422" t="s">
        <v>44</v>
      </c>
      <c r="D422" t="s">
        <v>24</v>
      </c>
      <c r="E422" t="s">
        <v>33</v>
      </c>
      <c r="F422" t="s">
        <v>26</v>
      </c>
      <c r="G422">
        <v>373</v>
      </c>
      <c r="H422">
        <v>3335</v>
      </c>
      <c r="I422">
        <v>5252.3347750000003</v>
      </c>
      <c r="J422" t="b">
        <v>1</v>
      </c>
      <c r="K422">
        <v>12</v>
      </c>
      <c r="L422" t="b">
        <v>0</v>
      </c>
      <c r="M422">
        <v>54355.978609999998</v>
      </c>
      <c r="N422">
        <v>3346</v>
      </c>
      <c r="O422">
        <v>7757</v>
      </c>
      <c r="P422" t="s">
        <v>36</v>
      </c>
      <c r="Q422">
        <v>0.11147638971906754</v>
      </c>
      <c r="R422" t="s">
        <v>28</v>
      </c>
      <c r="S422">
        <v>14.081326474530831</v>
      </c>
      <c r="T422">
        <v>0.4313523269305144</v>
      </c>
      <c r="U422" t="s">
        <v>29</v>
      </c>
      <c r="V422">
        <v>0</v>
      </c>
    </row>
    <row r="423" spans="1:22" x14ac:dyDescent="0.3">
      <c r="A423" s="1">
        <v>44878</v>
      </c>
      <c r="B423" t="s">
        <v>42</v>
      </c>
      <c r="C423" t="s">
        <v>31</v>
      </c>
      <c r="D423" t="s">
        <v>35</v>
      </c>
      <c r="E423" t="s">
        <v>33</v>
      </c>
      <c r="F423" t="s">
        <v>26</v>
      </c>
      <c r="G423">
        <v>366</v>
      </c>
      <c r="H423">
        <v>3357</v>
      </c>
      <c r="I423">
        <v>4663.8890940000001</v>
      </c>
      <c r="J423" t="b">
        <v>1</v>
      </c>
      <c r="K423">
        <v>5</v>
      </c>
      <c r="L423" t="b">
        <v>0</v>
      </c>
      <c r="M423">
        <v>18330.683649999999</v>
      </c>
      <c r="N423">
        <v>1825</v>
      </c>
      <c r="O423">
        <v>5965</v>
      </c>
      <c r="P423" t="s">
        <v>27</v>
      </c>
      <c r="Q423">
        <v>0.20054794520547944</v>
      </c>
      <c r="R423" t="s">
        <v>40</v>
      </c>
      <c r="S423">
        <v>12.742866377049181</v>
      </c>
      <c r="T423">
        <v>0.30595138306789604</v>
      </c>
      <c r="U423" t="s">
        <v>34</v>
      </c>
      <c r="V423">
        <v>0</v>
      </c>
    </row>
    <row r="424" spans="1:22" x14ac:dyDescent="0.3">
      <c r="A424" s="1">
        <v>44879</v>
      </c>
      <c r="B424" t="s">
        <v>42</v>
      </c>
      <c r="C424" t="s">
        <v>31</v>
      </c>
      <c r="D424" t="s">
        <v>24</v>
      </c>
      <c r="E424" t="s">
        <v>33</v>
      </c>
      <c r="F424" t="s">
        <v>26</v>
      </c>
      <c r="G424">
        <v>408</v>
      </c>
      <c r="H424">
        <v>293</v>
      </c>
      <c r="I424">
        <v>13432.160389999999</v>
      </c>
      <c r="J424" t="b">
        <v>1</v>
      </c>
      <c r="K424">
        <v>15</v>
      </c>
      <c r="L424" t="b">
        <v>0</v>
      </c>
      <c r="M424">
        <v>67494.514660000001</v>
      </c>
      <c r="N424">
        <v>265.5</v>
      </c>
      <c r="O424">
        <v>9982</v>
      </c>
      <c r="P424" t="s">
        <v>27</v>
      </c>
      <c r="Q424">
        <v>1.536723163841808</v>
      </c>
      <c r="R424" t="s">
        <v>37</v>
      </c>
      <c r="S424">
        <v>32.921961740196075</v>
      </c>
      <c r="T424">
        <v>2.6597876177118812E-2</v>
      </c>
      <c r="U424" t="s">
        <v>34</v>
      </c>
      <c r="V424">
        <v>0</v>
      </c>
    </row>
    <row r="425" spans="1:22" x14ac:dyDescent="0.3">
      <c r="A425" s="1">
        <v>44880</v>
      </c>
      <c r="B425" t="s">
        <v>22</v>
      </c>
      <c r="C425" t="s">
        <v>31</v>
      </c>
      <c r="D425" t="s">
        <v>46</v>
      </c>
      <c r="E425" t="s">
        <v>45</v>
      </c>
      <c r="F425" t="s">
        <v>43</v>
      </c>
      <c r="G425">
        <v>316</v>
      </c>
      <c r="H425">
        <v>238</v>
      </c>
      <c r="I425">
        <v>8574.1610729999993</v>
      </c>
      <c r="J425" t="b">
        <v>1</v>
      </c>
      <c r="K425">
        <v>22</v>
      </c>
      <c r="L425" t="b">
        <v>0</v>
      </c>
      <c r="M425">
        <v>20719.2929</v>
      </c>
      <c r="N425">
        <v>257</v>
      </c>
      <c r="O425">
        <v>7865</v>
      </c>
      <c r="P425" t="s">
        <v>36</v>
      </c>
      <c r="Q425">
        <v>1.2295719844357977</v>
      </c>
      <c r="R425" t="s">
        <v>37</v>
      </c>
      <c r="S425">
        <v>27.133421117088606</v>
      </c>
      <c r="T425">
        <v>3.2676414494596316E-2</v>
      </c>
      <c r="U425" t="s">
        <v>34</v>
      </c>
      <c r="V425">
        <v>0</v>
      </c>
    </row>
    <row r="426" spans="1:22" x14ac:dyDescent="0.3">
      <c r="A426" s="1">
        <v>44881</v>
      </c>
      <c r="B426" t="s">
        <v>22</v>
      </c>
      <c r="C426" t="s">
        <v>41</v>
      </c>
      <c r="D426" t="s">
        <v>46</v>
      </c>
      <c r="E426" t="s">
        <v>25</v>
      </c>
      <c r="F426" t="s">
        <v>26</v>
      </c>
      <c r="G426">
        <v>312</v>
      </c>
      <c r="H426">
        <v>276</v>
      </c>
      <c r="I426">
        <v>1825.6808980000001</v>
      </c>
      <c r="J426" t="b">
        <v>1</v>
      </c>
      <c r="K426">
        <v>9</v>
      </c>
      <c r="L426" t="b">
        <v>0</v>
      </c>
      <c r="M426">
        <v>10013.815570000001</v>
      </c>
      <c r="N426">
        <v>405.5</v>
      </c>
      <c r="O426">
        <v>8171</v>
      </c>
      <c r="P426" t="s">
        <v>36</v>
      </c>
      <c r="Q426">
        <v>0.76942046855733659</v>
      </c>
      <c r="R426" t="s">
        <v>28</v>
      </c>
      <c r="S426">
        <v>5.8515413397435898</v>
      </c>
      <c r="T426">
        <v>4.9626728674580838E-2</v>
      </c>
      <c r="U426" t="s">
        <v>34</v>
      </c>
      <c r="V426">
        <v>0</v>
      </c>
    </row>
    <row r="427" spans="1:22" x14ac:dyDescent="0.3">
      <c r="A427" s="1">
        <v>44882</v>
      </c>
      <c r="B427" t="s">
        <v>38</v>
      </c>
      <c r="C427" t="s">
        <v>44</v>
      </c>
      <c r="D427" t="s">
        <v>35</v>
      </c>
      <c r="E427" t="s">
        <v>45</v>
      </c>
      <c r="F427" t="s">
        <v>26</v>
      </c>
      <c r="G427">
        <v>425</v>
      </c>
      <c r="H427">
        <v>535</v>
      </c>
      <c r="I427">
        <v>652.99873379999997</v>
      </c>
      <c r="J427" t="b">
        <v>1</v>
      </c>
      <c r="K427">
        <v>10</v>
      </c>
      <c r="L427" t="b">
        <v>0</v>
      </c>
      <c r="M427">
        <v>57426.500500000002</v>
      </c>
      <c r="N427">
        <v>488.5</v>
      </c>
      <c r="O427">
        <v>9052</v>
      </c>
      <c r="P427" t="s">
        <v>27</v>
      </c>
      <c r="Q427">
        <v>0.87001023541453426</v>
      </c>
      <c r="R427" t="s">
        <v>28</v>
      </c>
      <c r="S427">
        <v>1.5364676089411764</v>
      </c>
      <c r="T427">
        <v>5.3965974370304905E-2</v>
      </c>
      <c r="U427" t="s">
        <v>34</v>
      </c>
      <c r="V427">
        <v>0</v>
      </c>
    </row>
    <row r="428" spans="1:22" x14ac:dyDescent="0.3">
      <c r="A428" s="1">
        <v>44883</v>
      </c>
      <c r="B428" t="s">
        <v>42</v>
      </c>
      <c r="C428" t="s">
        <v>23</v>
      </c>
      <c r="D428" t="s">
        <v>46</v>
      </c>
      <c r="E428" t="s">
        <v>45</v>
      </c>
      <c r="F428" t="s">
        <v>26</v>
      </c>
      <c r="G428">
        <v>992</v>
      </c>
      <c r="H428">
        <v>442</v>
      </c>
      <c r="I428">
        <v>3219.1447320000002</v>
      </c>
      <c r="J428" t="b">
        <v>1</v>
      </c>
      <c r="K428">
        <v>7</v>
      </c>
      <c r="L428" t="b">
        <v>0</v>
      </c>
      <c r="M428">
        <v>177278.6146</v>
      </c>
      <c r="N428">
        <v>425</v>
      </c>
      <c r="O428">
        <v>6834</v>
      </c>
      <c r="P428" t="s">
        <v>27</v>
      </c>
      <c r="Q428">
        <v>2.3341176470588234</v>
      </c>
      <c r="R428" t="s">
        <v>40</v>
      </c>
      <c r="S428">
        <v>3.2451055766129033</v>
      </c>
      <c r="T428">
        <v>6.2189054726368161E-2</v>
      </c>
      <c r="U428" t="s">
        <v>34</v>
      </c>
      <c r="V428">
        <v>0</v>
      </c>
    </row>
    <row r="429" spans="1:22" x14ac:dyDescent="0.3">
      <c r="A429" s="1">
        <v>44884</v>
      </c>
      <c r="B429" t="s">
        <v>22</v>
      </c>
      <c r="C429" t="s">
        <v>31</v>
      </c>
      <c r="D429" t="s">
        <v>24</v>
      </c>
      <c r="E429" t="s">
        <v>25</v>
      </c>
      <c r="F429" t="s">
        <v>26</v>
      </c>
      <c r="G429">
        <v>935</v>
      </c>
      <c r="H429">
        <v>408</v>
      </c>
      <c r="I429">
        <v>2953.4442490000001</v>
      </c>
      <c r="J429" t="b">
        <v>1</v>
      </c>
      <c r="K429">
        <v>13</v>
      </c>
      <c r="L429" t="b">
        <v>0</v>
      </c>
      <c r="M429">
        <v>139743.28659999999</v>
      </c>
      <c r="N429">
        <v>1036.5</v>
      </c>
      <c r="O429">
        <v>8596</v>
      </c>
      <c r="P429" t="s">
        <v>36</v>
      </c>
      <c r="Q429">
        <v>0.90207428847081528</v>
      </c>
      <c r="R429" t="s">
        <v>28</v>
      </c>
      <c r="S429">
        <v>3.158763902673797</v>
      </c>
      <c r="T429">
        <v>0.1205793392275477</v>
      </c>
      <c r="U429" t="s">
        <v>34</v>
      </c>
      <c r="V429">
        <v>0</v>
      </c>
    </row>
    <row r="430" spans="1:22" x14ac:dyDescent="0.3">
      <c r="A430" s="1">
        <v>44885</v>
      </c>
      <c r="B430" t="s">
        <v>22</v>
      </c>
      <c r="C430" t="s">
        <v>41</v>
      </c>
      <c r="D430" t="s">
        <v>35</v>
      </c>
      <c r="E430" t="s">
        <v>33</v>
      </c>
      <c r="F430" t="s">
        <v>26</v>
      </c>
      <c r="G430">
        <v>101</v>
      </c>
      <c r="H430">
        <v>1665</v>
      </c>
      <c r="I430">
        <v>6519.7573030000003</v>
      </c>
      <c r="J430" t="b">
        <v>1</v>
      </c>
      <c r="K430">
        <v>9</v>
      </c>
      <c r="L430" t="b">
        <v>0</v>
      </c>
      <c r="M430">
        <v>15956.01161</v>
      </c>
      <c r="N430">
        <v>2864.5</v>
      </c>
      <c r="O430">
        <v>8811</v>
      </c>
      <c r="P430" t="s">
        <v>36</v>
      </c>
      <c r="Q430">
        <v>3.5259207540582996E-2</v>
      </c>
      <c r="R430" t="s">
        <v>28</v>
      </c>
      <c r="S430">
        <v>64.552052504950495</v>
      </c>
      <c r="T430">
        <v>0.32510498240835317</v>
      </c>
      <c r="U430" t="s">
        <v>34</v>
      </c>
      <c r="V430">
        <v>0</v>
      </c>
    </row>
    <row r="431" spans="1:22" x14ac:dyDescent="0.3">
      <c r="A431" s="1">
        <v>44886</v>
      </c>
      <c r="B431" t="s">
        <v>22</v>
      </c>
      <c r="C431" t="s">
        <v>41</v>
      </c>
      <c r="D431" t="s">
        <v>35</v>
      </c>
      <c r="E431" t="s">
        <v>45</v>
      </c>
      <c r="F431" t="s">
        <v>26</v>
      </c>
      <c r="G431">
        <v>492</v>
      </c>
      <c r="H431">
        <v>4064</v>
      </c>
      <c r="I431">
        <v>7754.2125210000004</v>
      </c>
      <c r="J431" t="b">
        <v>0</v>
      </c>
      <c r="K431">
        <v>18</v>
      </c>
      <c r="L431" t="b">
        <v>1</v>
      </c>
      <c r="M431">
        <v>15341.858249999999</v>
      </c>
      <c r="N431">
        <v>3149.5</v>
      </c>
      <c r="O431">
        <v>8199</v>
      </c>
      <c r="P431" t="s">
        <v>27</v>
      </c>
      <c r="Q431">
        <v>0.15621527226543896</v>
      </c>
      <c r="R431" t="s">
        <v>37</v>
      </c>
      <c r="S431">
        <v>15.76059455487805</v>
      </c>
      <c r="T431">
        <v>0.3841322112452738</v>
      </c>
      <c r="U431" t="s">
        <v>34</v>
      </c>
      <c r="V431">
        <v>1</v>
      </c>
    </row>
    <row r="432" spans="1:22" x14ac:dyDescent="0.3">
      <c r="A432" s="1">
        <v>44887</v>
      </c>
      <c r="B432" t="s">
        <v>22</v>
      </c>
      <c r="C432" t="s">
        <v>41</v>
      </c>
      <c r="D432" t="s">
        <v>32</v>
      </c>
      <c r="E432" t="s">
        <v>33</v>
      </c>
      <c r="F432" t="s">
        <v>26</v>
      </c>
      <c r="G432">
        <v>377</v>
      </c>
      <c r="H432">
        <v>2235</v>
      </c>
      <c r="I432">
        <v>11073.55875</v>
      </c>
      <c r="J432" t="b">
        <v>1</v>
      </c>
      <c r="K432">
        <v>2</v>
      </c>
      <c r="L432" t="b">
        <v>0</v>
      </c>
      <c r="M432">
        <v>43629.543440000001</v>
      </c>
      <c r="N432">
        <v>2502</v>
      </c>
      <c r="O432">
        <v>8163</v>
      </c>
      <c r="P432" t="s">
        <v>36</v>
      </c>
      <c r="Q432">
        <v>0.15067945643485212</v>
      </c>
      <c r="R432" t="s">
        <v>40</v>
      </c>
      <c r="S432">
        <v>29.372834880636606</v>
      </c>
      <c r="T432">
        <v>0.30650496141124589</v>
      </c>
      <c r="U432" t="s">
        <v>34</v>
      </c>
      <c r="V432">
        <v>0</v>
      </c>
    </row>
    <row r="433" spans="1:22" x14ac:dyDescent="0.3">
      <c r="A433" s="1">
        <v>44888</v>
      </c>
      <c r="B433" t="s">
        <v>42</v>
      </c>
      <c r="C433" t="s">
        <v>41</v>
      </c>
      <c r="D433" t="s">
        <v>46</v>
      </c>
      <c r="E433" t="s">
        <v>45</v>
      </c>
      <c r="F433" t="s">
        <v>26</v>
      </c>
      <c r="G433">
        <v>281</v>
      </c>
      <c r="H433">
        <v>2769</v>
      </c>
      <c r="I433">
        <v>3705.5375159999999</v>
      </c>
      <c r="J433" t="b">
        <v>1</v>
      </c>
      <c r="K433">
        <v>22</v>
      </c>
      <c r="L433" t="b">
        <v>0</v>
      </c>
      <c r="M433">
        <v>8954.6832240000003</v>
      </c>
      <c r="N433">
        <v>3683</v>
      </c>
      <c r="O433">
        <v>8209</v>
      </c>
      <c r="P433" t="s">
        <v>36</v>
      </c>
      <c r="Q433">
        <v>7.6296497420581047E-2</v>
      </c>
      <c r="R433" t="s">
        <v>37</v>
      </c>
      <c r="S433">
        <v>13.18696624911032</v>
      </c>
      <c r="T433">
        <v>0.44865391643318309</v>
      </c>
      <c r="U433" t="s">
        <v>29</v>
      </c>
      <c r="V433">
        <v>0</v>
      </c>
    </row>
    <row r="434" spans="1:22" x14ac:dyDescent="0.3">
      <c r="A434" s="1">
        <v>44889</v>
      </c>
      <c r="B434" t="s">
        <v>42</v>
      </c>
      <c r="C434" t="s">
        <v>23</v>
      </c>
      <c r="D434" t="s">
        <v>24</v>
      </c>
      <c r="E434" t="s">
        <v>25</v>
      </c>
      <c r="F434" t="s">
        <v>43</v>
      </c>
      <c r="G434">
        <v>916</v>
      </c>
      <c r="H434">
        <v>4597</v>
      </c>
      <c r="I434">
        <v>3624.9364340000002</v>
      </c>
      <c r="J434" t="b">
        <v>1</v>
      </c>
      <c r="K434">
        <v>8</v>
      </c>
      <c r="L434" t="b">
        <v>0</v>
      </c>
      <c r="M434">
        <v>53805.579989999998</v>
      </c>
      <c r="N434">
        <v>4613.5</v>
      </c>
      <c r="O434">
        <v>9104</v>
      </c>
      <c r="P434" t="s">
        <v>36</v>
      </c>
      <c r="Q434">
        <v>0.19854774032730033</v>
      </c>
      <c r="R434" t="s">
        <v>28</v>
      </c>
      <c r="S434">
        <v>3.9573541855895198</v>
      </c>
      <c r="T434">
        <v>0.50675527240773288</v>
      </c>
      <c r="U434" t="s">
        <v>29</v>
      </c>
      <c r="V434">
        <v>0</v>
      </c>
    </row>
    <row r="435" spans="1:22" x14ac:dyDescent="0.3">
      <c r="A435" s="1">
        <v>44890</v>
      </c>
      <c r="B435" t="s">
        <v>22</v>
      </c>
      <c r="C435" t="s">
        <v>41</v>
      </c>
      <c r="D435" t="s">
        <v>46</v>
      </c>
      <c r="E435" t="s">
        <v>25</v>
      </c>
      <c r="F435" t="s">
        <v>43</v>
      </c>
      <c r="G435">
        <v>626</v>
      </c>
      <c r="H435">
        <v>4630</v>
      </c>
      <c r="I435">
        <v>10154.547</v>
      </c>
      <c r="J435" t="b">
        <v>0</v>
      </c>
      <c r="K435">
        <v>29</v>
      </c>
      <c r="L435" t="b">
        <v>1</v>
      </c>
      <c r="M435">
        <v>101506.5805</v>
      </c>
      <c r="N435">
        <v>4302</v>
      </c>
      <c r="O435">
        <v>5216</v>
      </c>
      <c r="P435" t="s">
        <v>27</v>
      </c>
      <c r="Q435">
        <v>0.14551371455137146</v>
      </c>
      <c r="R435" t="s">
        <v>37</v>
      </c>
      <c r="S435">
        <v>16.22132108626198</v>
      </c>
      <c r="T435">
        <v>0.82476993865030679</v>
      </c>
      <c r="U435" t="s">
        <v>29</v>
      </c>
      <c r="V435">
        <v>1</v>
      </c>
    </row>
    <row r="436" spans="1:22" x14ac:dyDescent="0.3">
      <c r="A436" s="1">
        <v>44891</v>
      </c>
      <c r="B436" t="s">
        <v>30</v>
      </c>
      <c r="C436" t="s">
        <v>41</v>
      </c>
      <c r="D436" t="s">
        <v>24</v>
      </c>
      <c r="E436" t="s">
        <v>33</v>
      </c>
      <c r="F436" t="s">
        <v>43</v>
      </c>
      <c r="G436">
        <v>269</v>
      </c>
      <c r="H436">
        <v>3974</v>
      </c>
      <c r="I436">
        <v>6165.0562879999998</v>
      </c>
      <c r="J436" t="b">
        <v>1</v>
      </c>
      <c r="K436">
        <v>3</v>
      </c>
      <c r="L436" t="b">
        <v>1</v>
      </c>
      <c r="M436">
        <v>34499.024069999999</v>
      </c>
      <c r="N436">
        <v>2334.5</v>
      </c>
      <c r="O436">
        <v>9584</v>
      </c>
      <c r="P436" t="s">
        <v>27</v>
      </c>
      <c r="Q436">
        <v>0.11522810023559649</v>
      </c>
      <c r="R436" t="s">
        <v>40</v>
      </c>
      <c r="S436">
        <v>22.918424862453531</v>
      </c>
      <c r="T436">
        <v>0.24358305509181971</v>
      </c>
      <c r="U436" t="s">
        <v>34</v>
      </c>
      <c r="V436">
        <v>1</v>
      </c>
    </row>
    <row r="437" spans="1:22" x14ac:dyDescent="0.3">
      <c r="A437" s="1">
        <v>44892</v>
      </c>
      <c r="B437" t="s">
        <v>22</v>
      </c>
      <c r="C437" t="s">
        <v>41</v>
      </c>
      <c r="D437" t="s">
        <v>24</v>
      </c>
      <c r="E437" t="s">
        <v>45</v>
      </c>
      <c r="F437" t="s">
        <v>26</v>
      </c>
      <c r="G437">
        <v>987</v>
      </c>
      <c r="H437">
        <v>695</v>
      </c>
      <c r="I437">
        <v>6582.4815339999996</v>
      </c>
      <c r="J437" t="b">
        <v>1</v>
      </c>
      <c r="K437">
        <v>26</v>
      </c>
      <c r="L437" t="b">
        <v>0</v>
      </c>
      <c r="M437">
        <v>101918.99739999999</v>
      </c>
      <c r="N437">
        <v>1535.5</v>
      </c>
      <c r="O437">
        <v>7968</v>
      </c>
      <c r="P437" t="s">
        <v>36</v>
      </c>
      <c r="Q437">
        <v>0.64278736567893191</v>
      </c>
      <c r="R437" t="s">
        <v>37</v>
      </c>
      <c r="S437">
        <v>6.6691808855116514</v>
      </c>
      <c r="T437">
        <v>0.19270833333333334</v>
      </c>
      <c r="U437" t="s">
        <v>34</v>
      </c>
      <c r="V437">
        <v>0</v>
      </c>
    </row>
    <row r="438" spans="1:22" x14ac:dyDescent="0.3">
      <c r="A438" s="1">
        <v>44893</v>
      </c>
      <c r="B438" t="s">
        <v>38</v>
      </c>
      <c r="C438" t="s">
        <v>44</v>
      </c>
      <c r="D438" t="s">
        <v>24</v>
      </c>
      <c r="E438" t="s">
        <v>33</v>
      </c>
      <c r="F438" t="s">
        <v>26</v>
      </c>
      <c r="G438">
        <v>418</v>
      </c>
      <c r="H438">
        <v>2376</v>
      </c>
      <c r="I438">
        <v>5635.2358530000001</v>
      </c>
      <c r="J438" t="b">
        <v>1</v>
      </c>
      <c r="K438">
        <v>12</v>
      </c>
      <c r="L438" t="b">
        <v>1</v>
      </c>
      <c r="M438">
        <v>64577.384590000001</v>
      </c>
      <c r="N438">
        <v>3550.5</v>
      </c>
      <c r="O438">
        <v>6008</v>
      </c>
      <c r="P438" t="s">
        <v>36</v>
      </c>
      <c r="Q438">
        <v>0.1177298971975778</v>
      </c>
      <c r="R438" t="s">
        <v>28</v>
      </c>
      <c r="S438">
        <v>13.481425485645934</v>
      </c>
      <c r="T438">
        <v>0.59096205059920104</v>
      </c>
      <c r="U438" t="s">
        <v>29</v>
      </c>
      <c r="V438">
        <v>1</v>
      </c>
    </row>
    <row r="439" spans="1:22" x14ac:dyDescent="0.3">
      <c r="A439" s="1">
        <v>44894</v>
      </c>
      <c r="B439" t="s">
        <v>22</v>
      </c>
      <c r="C439" t="s">
        <v>44</v>
      </c>
      <c r="D439" t="s">
        <v>46</v>
      </c>
      <c r="E439" t="s">
        <v>25</v>
      </c>
      <c r="F439" t="s">
        <v>26</v>
      </c>
      <c r="G439">
        <v>791</v>
      </c>
      <c r="H439">
        <v>4725</v>
      </c>
      <c r="I439">
        <v>2807.8067179999998</v>
      </c>
      <c r="J439" t="b">
        <v>1</v>
      </c>
      <c r="K439">
        <v>28</v>
      </c>
      <c r="L439" t="b">
        <v>0</v>
      </c>
      <c r="M439">
        <v>88360.15221</v>
      </c>
      <c r="N439">
        <v>4604.5</v>
      </c>
      <c r="O439">
        <v>6210</v>
      </c>
      <c r="P439" t="s">
        <v>27</v>
      </c>
      <c r="Q439">
        <v>0.17178846780323598</v>
      </c>
      <c r="R439" t="s">
        <v>37</v>
      </c>
      <c r="S439">
        <v>3.5496924374209859</v>
      </c>
      <c r="T439">
        <v>0.74146537842190019</v>
      </c>
      <c r="U439" t="s">
        <v>29</v>
      </c>
      <c r="V439">
        <v>0</v>
      </c>
    </row>
    <row r="440" spans="1:22" x14ac:dyDescent="0.3">
      <c r="A440" s="1">
        <v>44895</v>
      </c>
      <c r="B440" t="s">
        <v>38</v>
      </c>
      <c r="C440" t="s">
        <v>41</v>
      </c>
      <c r="D440" t="s">
        <v>24</v>
      </c>
      <c r="E440" t="s">
        <v>25</v>
      </c>
      <c r="F440" t="s">
        <v>26</v>
      </c>
      <c r="G440">
        <v>933</v>
      </c>
      <c r="H440">
        <v>4484</v>
      </c>
      <c r="I440">
        <v>14595.15036</v>
      </c>
      <c r="J440" t="b">
        <v>1</v>
      </c>
      <c r="K440">
        <v>29</v>
      </c>
      <c r="L440" t="b">
        <v>0</v>
      </c>
      <c r="M440">
        <v>69681.368700000006</v>
      </c>
      <c r="N440">
        <v>2519</v>
      </c>
      <c r="O440">
        <v>5852</v>
      </c>
      <c r="P440" t="s">
        <v>27</v>
      </c>
      <c r="Q440">
        <v>0.37038507344184202</v>
      </c>
      <c r="R440" t="s">
        <v>37</v>
      </c>
      <c r="S440">
        <v>15.643247974276527</v>
      </c>
      <c r="T440">
        <v>0.43045112781954886</v>
      </c>
      <c r="U440" t="s">
        <v>29</v>
      </c>
      <c r="V440">
        <v>0</v>
      </c>
    </row>
    <row r="441" spans="1:22" x14ac:dyDescent="0.3">
      <c r="A441" s="1">
        <v>44896</v>
      </c>
      <c r="B441" t="s">
        <v>42</v>
      </c>
      <c r="C441" t="s">
        <v>44</v>
      </c>
      <c r="D441" t="s">
        <v>46</v>
      </c>
      <c r="E441" t="s">
        <v>25</v>
      </c>
      <c r="F441" t="s">
        <v>26</v>
      </c>
      <c r="G441">
        <v>991</v>
      </c>
      <c r="H441">
        <v>554</v>
      </c>
      <c r="I441">
        <v>6064.7006410000004</v>
      </c>
      <c r="J441" t="b">
        <v>1</v>
      </c>
      <c r="K441">
        <v>5</v>
      </c>
      <c r="L441" t="b">
        <v>0</v>
      </c>
      <c r="M441">
        <v>146635.6286</v>
      </c>
      <c r="N441">
        <v>1638.5</v>
      </c>
      <c r="O441">
        <v>8490</v>
      </c>
      <c r="P441" t="s">
        <v>36</v>
      </c>
      <c r="Q441">
        <v>0.60482148306377781</v>
      </c>
      <c r="R441" t="s">
        <v>40</v>
      </c>
      <c r="S441">
        <v>6.1197786488395565</v>
      </c>
      <c r="T441">
        <v>0.19299175500588928</v>
      </c>
      <c r="U441" t="s">
        <v>34</v>
      </c>
      <c r="V441">
        <v>0</v>
      </c>
    </row>
    <row r="442" spans="1:22" x14ac:dyDescent="0.3">
      <c r="A442" s="1">
        <v>44897</v>
      </c>
      <c r="B442" t="s">
        <v>30</v>
      </c>
      <c r="C442" t="s">
        <v>31</v>
      </c>
      <c r="D442" t="s">
        <v>35</v>
      </c>
      <c r="E442" t="s">
        <v>25</v>
      </c>
      <c r="F442" t="s">
        <v>26</v>
      </c>
      <c r="G442">
        <v>951</v>
      </c>
      <c r="H442">
        <v>2723</v>
      </c>
      <c r="I442">
        <v>7766.859606</v>
      </c>
      <c r="J442" t="b">
        <v>1</v>
      </c>
      <c r="K442">
        <v>5</v>
      </c>
      <c r="L442" t="b">
        <v>0</v>
      </c>
      <c r="M442">
        <v>121752.04790000001</v>
      </c>
      <c r="N442">
        <v>3697.5</v>
      </c>
      <c r="O442">
        <v>5743</v>
      </c>
      <c r="P442" t="s">
        <v>36</v>
      </c>
      <c r="Q442">
        <v>0.25720081135902639</v>
      </c>
      <c r="R442" t="s">
        <v>40</v>
      </c>
      <c r="S442">
        <v>8.1670448012618291</v>
      </c>
      <c r="T442">
        <v>0.6438272679784085</v>
      </c>
      <c r="U442" t="s">
        <v>29</v>
      </c>
      <c r="V442">
        <v>0</v>
      </c>
    </row>
    <row r="443" spans="1:22" x14ac:dyDescent="0.3">
      <c r="A443" s="1">
        <v>44898</v>
      </c>
      <c r="B443" t="s">
        <v>22</v>
      </c>
      <c r="C443" t="s">
        <v>41</v>
      </c>
      <c r="D443" t="s">
        <v>32</v>
      </c>
      <c r="E443" t="s">
        <v>25</v>
      </c>
      <c r="F443" t="s">
        <v>26</v>
      </c>
      <c r="G443">
        <v>497</v>
      </c>
      <c r="H443">
        <v>4672</v>
      </c>
      <c r="I443">
        <v>557.41917369999999</v>
      </c>
      <c r="J443" t="b">
        <v>1</v>
      </c>
      <c r="K443">
        <v>24</v>
      </c>
      <c r="L443" t="b">
        <v>0</v>
      </c>
      <c r="M443">
        <v>81213.557400000005</v>
      </c>
      <c r="N443">
        <v>2557</v>
      </c>
      <c r="O443">
        <v>9906</v>
      </c>
      <c r="P443" t="s">
        <v>27</v>
      </c>
      <c r="Q443">
        <v>0.19436840046929996</v>
      </c>
      <c r="R443" t="s">
        <v>37</v>
      </c>
      <c r="S443">
        <v>1.1215677539235411</v>
      </c>
      <c r="T443">
        <v>0.25812638804764787</v>
      </c>
      <c r="U443" t="s">
        <v>34</v>
      </c>
      <c r="V443">
        <v>0</v>
      </c>
    </row>
    <row r="444" spans="1:22" x14ac:dyDescent="0.3">
      <c r="A444" s="1">
        <v>44899</v>
      </c>
      <c r="B444" t="s">
        <v>30</v>
      </c>
      <c r="C444" t="s">
        <v>31</v>
      </c>
      <c r="D444" t="s">
        <v>35</v>
      </c>
      <c r="E444" t="s">
        <v>25</v>
      </c>
      <c r="F444" t="s">
        <v>26</v>
      </c>
      <c r="G444">
        <v>324</v>
      </c>
      <c r="H444">
        <v>442</v>
      </c>
      <c r="I444">
        <v>7652.5719959999997</v>
      </c>
      <c r="J444" t="b">
        <v>1</v>
      </c>
      <c r="K444">
        <v>28</v>
      </c>
      <c r="L444" t="b">
        <v>0</v>
      </c>
      <c r="M444">
        <v>7971.7663000000002</v>
      </c>
      <c r="N444">
        <v>1229.5</v>
      </c>
      <c r="O444">
        <v>5713</v>
      </c>
      <c r="P444" t="s">
        <v>36</v>
      </c>
      <c r="Q444">
        <v>0.26352175681171208</v>
      </c>
      <c r="R444" t="s">
        <v>37</v>
      </c>
      <c r="S444">
        <v>23.619049370370369</v>
      </c>
      <c r="T444">
        <v>0.21521092245755294</v>
      </c>
      <c r="U444" t="s">
        <v>34</v>
      </c>
      <c r="V444">
        <v>0</v>
      </c>
    </row>
    <row r="445" spans="1:22" x14ac:dyDescent="0.3">
      <c r="A445" s="1">
        <v>44900</v>
      </c>
      <c r="B445" t="s">
        <v>38</v>
      </c>
      <c r="C445" t="s">
        <v>44</v>
      </c>
      <c r="D445" t="s">
        <v>32</v>
      </c>
      <c r="E445" t="s">
        <v>45</v>
      </c>
      <c r="F445" t="s">
        <v>26</v>
      </c>
      <c r="G445">
        <v>476</v>
      </c>
      <c r="H445">
        <v>2017</v>
      </c>
      <c r="I445">
        <v>7796.0979219999999</v>
      </c>
      <c r="J445" t="b">
        <v>1</v>
      </c>
      <c r="K445">
        <v>4</v>
      </c>
      <c r="L445" t="b">
        <v>0</v>
      </c>
      <c r="M445">
        <v>21615.10572</v>
      </c>
      <c r="N445">
        <v>1174</v>
      </c>
      <c r="O445">
        <v>6244</v>
      </c>
      <c r="P445" t="s">
        <v>27</v>
      </c>
      <c r="Q445">
        <v>0.40545144804088584</v>
      </c>
      <c r="R445" t="s">
        <v>40</v>
      </c>
      <c r="S445">
        <v>16.378356978991597</v>
      </c>
      <c r="T445">
        <v>0.1880204996796925</v>
      </c>
      <c r="U445" t="s">
        <v>34</v>
      </c>
      <c r="V445">
        <v>0</v>
      </c>
    </row>
    <row r="446" spans="1:22" x14ac:dyDescent="0.3">
      <c r="A446" s="1">
        <v>44901</v>
      </c>
      <c r="B446" t="s">
        <v>38</v>
      </c>
      <c r="C446" t="s">
        <v>41</v>
      </c>
      <c r="D446" t="s">
        <v>35</v>
      </c>
      <c r="E446" t="s">
        <v>25</v>
      </c>
      <c r="F446" t="s">
        <v>39</v>
      </c>
      <c r="G446">
        <v>659</v>
      </c>
      <c r="H446">
        <v>331</v>
      </c>
      <c r="I446">
        <v>5646.5024139999996</v>
      </c>
      <c r="J446" t="b">
        <v>1</v>
      </c>
      <c r="K446">
        <v>18</v>
      </c>
      <c r="L446" t="b">
        <v>0</v>
      </c>
      <c r="M446">
        <v>76476.237099999998</v>
      </c>
      <c r="N446">
        <v>305</v>
      </c>
      <c r="O446">
        <v>8000</v>
      </c>
      <c r="P446" t="s">
        <v>27</v>
      </c>
      <c r="Q446">
        <v>2.1606557377049178</v>
      </c>
      <c r="R446" t="s">
        <v>37</v>
      </c>
      <c r="S446">
        <v>8.5682889438543235</v>
      </c>
      <c r="T446">
        <v>3.8124999999999999E-2</v>
      </c>
      <c r="U446" t="s">
        <v>34</v>
      </c>
      <c r="V446">
        <v>0</v>
      </c>
    </row>
    <row r="447" spans="1:22" x14ac:dyDescent="0.3">
      <c r="A447" s="1">
        <v>44902</v>
      </c>
      <c r="B447" t="s">
        <v>38</v>
      </c>
      <c r="C447" t="s">
        <v>31</v>
      </c>
      <c r="D447" t="s">
        <v>35</v>
      </c>
      <c r="E447" t="s">
        <v>25</v>
      </c>
      <c r="F447" t="s">
        <v>26</v>
      </c>
      <c r="G447">
        <v>855</v>
      </c>
      <c r="H447">
        <v>279</v>
      </c>
      <c r="I447">
        <v>1520.877755</v>
      </c>
      <c r="J447" t="b">
        <v>1</v>
      </c>
      <c r="K447">
        <v>20</v>
      </c>
      <c r="L447" t="b">
        <v>0</v>
      </c>
      <c r="M447">
        <v>142459.8278</v>
      </c>
      <c r="N447">
        <v>558</v>
      </c>
      <c r="O447">
        <v>7646</v>
      </c>
      <c r="P447" t="s">
        <v>36</v>
      </c>
      <c r="Q447">
        <v>1.532258064516129</v>
      </c>
      <c r="R447" t="s">
        <v>37</v>
      </c>
      <c r="S447">
        <v>1.7788043918128655</v>
      </c>
      <c r="T447">
        <v>7.2979335600313888E-2</v>
      </c>
      <c r="U447" t="s">
        <v>34</v>
      </c>
      <c r="V447">
        <v>0</v>
      </c>
    </row>
    <row r="448" spans="1:22" x14ac:dyDescent="0.3">
      <c r="A448" s="1">
        <v>44903</v>
      </c>
      <c r="B448" t="s">
        <v>38</v>
      </c>
      <c r="C448" t="s">
        <v>23</v>
      </c>
      <c r="D448" t="s">
        <v>24</v>
      </c>
      <c r="E448" t="s">
        <v>33</v>
      </c>
      <c r="F448" t="s">
        <v>26</v>
      </c>
      <c r="G448">
        <v>572</v>
      </c>
      <c r="H448">
        <v>837</v>
      </c>
      <c r="I448">
        <v>14360.596</v>
      </c>
      <c r="J448" t="b">
        <v>1</v>
      </c>
      <c r="K448">
        <v>10</v>
      </c>
      <c r="L448" t="b">
        <v>0</v>
      </c>
      <c r="M448">
        <v>97505.250580000007</v>
      </c>
      <c r="N448">
        <v>1887.5</v>
      </c>
      <c r="O448">
        <v>7868</v>
      </c>
      <c r="P448" t="s">
        <v>36</v>
      </c>
      <c r="Q448">
        <v>0.30304635761589405</v>
      </c>
      <c r="R448" t="s">
        <v>28</v>
      </c>
      <c r="S448">
        <v>25.105937062937063</v>
      </c>
      <c r="T448">
        <v>0.23989578037620743</v>
      </c>
      <c r="U448" t="s">
        <v>34</v>
      </c>
      <c r="V448">
        <v>0</v>
      </c>
    </row>
    <row r="449" spans="1:22" x14ac:dyDescent="0.3">
      <c r="A449" s="1">
        <v>44904</v>
      </c>
      <c r="B449" t="s">
        <v>38</v>
      </c>
      <c r="C449" t="s">
        <v>31</v>
      </c>
      <c r="D449" t="s">
        <v>32</v>
      </c>
      <c r="E449" t="s">
        <v>45</v>
      </c>
      <c r="F449" t="s">
        <v>26</v>
      </c>
      <c r="G449">
        <v>460</v>
      </c>
      <c r="H449">
        <v>2938</v>
      </c>
      <c r="I449">
        <v>3058.3766719999999</v>
      </c>
      <c r="J449" t="b">
        <v>1</v>
      </c>
      <c r="K449">
        <v>21</v>
      </c>
      <c r="L449" t="b">
        <v>0</v>
      </c>
      <c r="M449">
        <v>17788.857619999999</v>
      </c>
      <c r="N449">
        <v>1531</v>
      </c>
      <c r="O449">
        <v>7302</v>
      </c>
      <c r="P449" t="s">
        <v>27</v>
      </c>
      <c r="Q449">
        <v>0.30045721750489873</v>
      </c>
      <c r="R449" t="s">
        <v>37</v>
      </c>
      <c r="S449">
        <v>6.6486449391304348</v>
      </c>
      <c r="T449">
        <v>0.20966858394960286</v>
      </c>
      <c r="U449" t="s">
        <v>34</v>
      </c>
      <c r="V449">
        <v>0</v>
      </c>
    </row>
    <row r="450" spans="1:22" x14ac:dyDescent="0.3">
      <c r="A450" s="1">
        <v>44905</v>
      </c>
      <c r="B450" t="s">
        <v>22</v>
      </c>
      <c r="C450" t="s">
        <v>31</v>
      </c>
      <c r="D450" t="s">
        <v>46</v>
      </c>
      <c r="E450" t="s">
        <v>25</v>
      </c>
      <c r="F450" t="s">
        <v>43</v>
      </c>
      <c r="G450">
        <v>91</v>
      </c>
      <c r="H450">
        <v>124</v>
      </c>
      <c r="I450">
        <v>1184.7607089999999</v>
      </c>
      <c r="J450" t="b">
        <v>1</v>
      </c>
      <c r="K450">
        <v>12</v>
      </c>
      <c r="L450" t="b">
        <v>0</v>
      </c>
      <c r="M450">
        <v>11754.893700000001</v>
      </c>
      <c r="N450">
        <v>2044.5</v>
      </c>
      <c r="O450">
        <v>6734</v>
      </c>
      <c r="P450" t="s">
        <v>36</v>
      </c>
      <c r="Q450">
        <v>4.4509660063585227E-2</v>
      </c>
      <c r="R450" t="s">
        <v>28</v>
      </c>
      <c r="S450">
        <v>13.019348450549449</v>
      </c>
      <c r="T450">
        <v>0.3036085536085536</v>
      </c>
      <c r="U450" t="s">
        <v>34</v>
      </c>
      <c r="V450">
        <v>0</v>
      </c>
    </row>
    <row r="451" spans="1:22" x14ac:dyDescent="0.3">
      <c r="A451" s="1">
        <v>44906</v>
      </c>
      <c r="B451" t="s">
        <v>42</v>
      </c>
      <c r="C451" t="s">
        <v>23</v>
      </c>
      <c r="D451" t="s">
        <v>24</v>
      </c>
      <c r="E451" t="s">
        <v>45</v>
      </c>
      <c r="F451" t="s">
        <v>26</v>
      </c>
      <c r="G451">
        <v>715</v>
      </c>
      <c r="H451">
        <v>3965</v>
      </c>
      <c r="I451">
        <v>5999.6091800000004</v>
      </c>
      <c r="J451" t="b">
        <v>1</v>
      </c>
      <c r="K451">
        <v>13</v>
      </c>
      <c r="L451" t="b">
        <v>0</v>
      </c>
      <c r="M451">
        <v>24897.436389999999</v>
      </c>
      <c r="N451">
        <v>2540.5</v>
      </c>
      <c r="O451">
        <v>7209</v>
      </c>
      <c r="P451" t="s">
        <v>27</v>
      </c>
      <c r="Q451">
        <v>0.28144066128714817</v>
      </c>
      <c r="R451" t="s">
        <v>28</v>
      </c>
      <c r="S451">
        <v>8.3910617902097915</v>
      </c>
      <c r="T451">
        <v>0.35240671382993483</v>
      </c>
      <c r="U451" t="s">
        <v>34</v>
      </c>
      <c r="V451">
        <v>0</v>
      </c>
    </row>
    <row r="452" spans="1:22" x14ac:dyDescent="0.3">
      <c r="A452" s="1">
        <v>44907</v>
      </c>
      <c r="B452" t="s">
        <v>38</v>
      </c>
      <c r="C452" t="s">
        <v>31</v>
      </c>
      <c r="D452" t="s">
        <v>24</v>
      </c>
      <c r="E452" t="s">
        <v>45</v>
      </c>
      <c r="F452" t="s">
        <v>43</v>
      </c>
      <c r="G452">
        <v>828</v>
      </c>
      <c r="H452">
        <v>1116</v>
      </c>
      <c r="I452">
        <v>12235.858389999999</v>
      </c>
      <c r="J452" t="b">
        <v>1</v>
      </c>
      <c r="K452">
        <v>10</v>
      </c>
      <c r="L452" t="b">
        <v>0</v>
      </c>
      <c r="M452">
        <v>78366.607550000001</v>
      </c>
      <c r="N452">
        <v>662.5</v>
      </c>
      <c r="O452">
        <v>5612</v>
      </c>
      <c r="P452" t="s">
        <v>27</v>
      </c>
      <c r="Q452">
        <v>1.249811320754717</v>
      </c>
      <c r="R452" t="s">
        <v>28</v>
      </c>
      <c r="S452">
        <v>14.777606751207729</v>
      </c>
      <c r="T452">
        <v>0.11805060584461867</v>
      </c>
      <c r="U452" t="s">
        <v>34</v>
      </c>
      <c r="V452">
        <v>0</v>
      </c>
    </row>
    <row r="453" spans="1:22" x14ac:dyDescent="0.3">
      <c r="A453" s="1">
        <v>44908</v>
      </c>
      <c r="B453" t="s">
        <v>22</v>
      </c>
      <c r="C453" t="s">
        <v>23</v>
      </c>
      <c r="D453" t="s">
        <v>35</v>
      </c>
      <c r="E453" t="s">
        <v>33</v>
      </c>
      <c r="F453" t="s">
        <v>26</v>
      </c>
      <c r="G453">
        <v>488</v>
      </c>
      <c r="H453">
        <v>209</v>
      </c>
      <c r="I453">
        <v>6393.0688449999998</v>
      </c>
      <c r="J453" t="b">
        <v>1</v>
      </c>
      <c r="K453">
        <v>26</v>
      </c>
      <c r="L453" t="b">
        <v>0</v>
      </c>
      <c r="M453">
        <v>31925.018950000001</v>
      </c>
      <c r="N453">
        <v>1319.5</v>
      </c>
      <c r="O453">
        <v>5912</v>
      </c>
      <c r="P453" t="s">
        <v>36</v>
      </c>
      <c r="Q453">
        <v>0.36983705949223189</v>
      </c>
      <c r="R453" t="s">
        <v>37</v>
      </c>
      <c r="S453">
        <v>13.100550911885245</v>
      </c>
      <c r="T453">
        <v>0.22319012178619757</v>
      </c>
      <c r="U453" t="s">
        <v>34</v>
      </c>
      <c r="V453">
        <v>0</v>
      </c>
    </row>
    <row r="454" spans="1:22" x14ac:dyDescent="0.3">
      <c r="A454" s="1">
        <v>44909</v>
      </c>
      <c r="B454" t="s">
        <v>30</v>
      </c>
      <c r="C454" t="s">
        <v>44</v>
      </c>
      <c r="D454" t="s">
        <v>24</v>
      </c>
      <c r="E454" t="s">
        <v>45</v>
      </c>
      <c r="F454" t="s">
        <v>26</v>
      </c>
      <c r="G454">
        <v>256</v>
      </c>
      <c r="H454">
        <v>2430</v>
      </c>
      <c r="I454">
        <v>5743.3061170000001</v>
      </c>
      <c r="J454" t="b">
        <v>1</v>
      </c>
      <c r="K454">
        <v>29</v>
      </c>
      <c r="L454" t="b">
        <v>0</v>
      </c>
      <c r="M454">
        <v>39575.876969999998</v>
      </c>
      <c r="N454">
        <v>1925.5</v>
      </c>
      <c r="O454">
        <v>5002</v>
      </c>
      <c r="P454" t="s">
        <v>27</v>
      </c>
      <c r="Q454">
        <v>0.13295247987535705</v>
      </c>
      <c r="R454" t="s">
        <v>37</v>
      </c>
      <c r="S454">
        <v>22.43478951953125</v>
      </c>
      <c r="T454">
        <v>0.38494602159136343</v>
      </c>
      <c r="U454" t="s">
        <v>34</v>
      </c>
      <c r="V454">
        <v>0</v>
      </c>
    </row>
    <row r="455" spans="1:22" x14ac:dyDescent="0.3">
      <c r="A455" s="1">
        <v>44910</v>
      </c>
      <c r="B455" t="s">
        <v>30</v>
      </c>
      <c r="C455" t="s">
        <v>41</v>
      </c>
      <c r="D455" t="s">
        <v>46</v>
      </c>
      <c r="E455" t="s">
        <v>25</v>
      </c>
      <c r="F455" t="s">
        <v>26</v>
      </c>
      <c r="G455">
        <v>829</v>
      </c>
      <c r="H455">
        <v>1421</v>
      </c>
      <c r="I455">
        <v>11818.30452</v>
      </c>
      <c r="J455" t="b">
        <v>1</v>
      </c>
      <c r="K455">
        <v>12</v>
      </c>
      <c r="L455" t="b">
        <v>0</v>
      </c>
      <c r="M455">
        <v>126213.1286</v>
      </c>
      <c r="N455">
        <v>1758</v>
      </c>
      <c r="O455">
        <v>6142</v>
      </c>
      <c r="P455" t="s">
        <v>36</v>
      </c>
      <c r="Q455">
        <v>0.47155858930602956</v>
      </c>
      <c r="R455" t="s">
        <v>28</v>
      </c>
      <c r="S455">
        <v>14.25609712907117</v>
      </c>
      <c r="T455">
        <v>0.28622598502116575</v>
      </c>
      <c r="U455" t="s">
        <v>34</v>
      </c>
      <c r="V455">
        <v>0</v>
      </c>
    </row>
    <row r="456" spans="1:22" x14ac:dyDescent="0.3">
      <c r="A456" s="1">
        <v>44911</v>
      </c>
      <c r="B456" t="s">
        <v>38</v>
      </c>
      <c r="C456" t="s">
        <v>23</v>
      </c>
      <c r="D456" t="s">
        <v>32</v>
      </c>
      <c r="E456" t="s">
        <v>45</v>
      </c>
      <c r="F456" t="s">
        <v>26</v>
      </c>
      <c r="G456">
        <v>484</v>
      </c>
      <c r="H456">
        <v>2095</v>
      </c>
      <c r="I456">
        <v>722.00350609999998</v>
      </c>
      <c r="J456" t="b">
        <v>1</v>
      </c>
      <c r="K456">
        <v>29</v>
      </c>
      <c r="L456" t="b">
        <v>0</v>
      </c>
      <c r="M456">
        <v>93190.211949999997</v>
      </c>
      <c r="N456">
        <v>1475</v>
      </c>
      <c r="O456">
        <v>8280</v>
      </c>
      <c r="P456" t="s">
        <v>27</v>
      </c>
      <c r="Q456">
        <v>0.32813559322033897</v>
      </c>
      <c r="R456" t="s">
        <v>37</v>
      </c>
      <c r="S456">
        <v>1.491742781198347</v>
      </c>
      <c r="T456">
        <v>0.17814009661835747</v>
      </c>
      <c r="U456" t="s">
        <v>34</v>
      </c>
      <c r="V456">
        <v>0</v>
      </c>
    </row>
    <row r="457" spans="1:22" x14ac:dyDescent="0.3">
      <c r="A457" s="1">
        <v>44912</v>
      </c>
      <c r="B457" t="s">
        <v>30</v>
      </c>
      <c r="C457" t="s">
        <v>41</v>
      </c>
      <c r="D457" t="s">
        <v>35</v>
      </c>
      <c r="E457" t="s">
        <v>25</v>
      </c>
      <c r="F457" t="s">
        <v>26</v>
      </c>
      <c r="G457">
        <v>600</v>
      </c>
      <c r="H457">
        <v>855</v>
      </c>
      <c r="I457">
        <v>8703.2593780000007</v>
      </c>
      <c r="J457" t="b">
        <v>1</v>
      </c>
      <c r="K457">
        <v>11</v>
      </c>
      <c r="L457" t="b">
        <v>0</v>
      </c>
      <c r="M457">
        <v>65862.879430000001</v>
      </c>
      <c r="N457">
        <v>1867</v>
      </c>
      <c r="O457">
        <v>6723</v>
      </c>
      <c r="P457" t="s">
        <v>36</v>
      </c>
      <c r="Q457">
        <v>0.32137118371719336</v>
      </c>
      <c r="R457" t="s">
        <v>28</v>
      </c>
      <c r="S457">
        <v>14.505432296666667</v>
      </c>
      <c r="T457">
        <v>0.27770340621746242</v>
      </c>
      <c r="U457" t="s">
        <v>34</v>
      </c>
      <c r="V457">
        <v>0</v>
      </c>
    </row>
    <row r="458" spans="1:22" x14ac:dyDescent="0.3">
      <c r="A458" s="1">
        <v>44913</v>
      </c>
      <c r="B458" t="s">
        <v>22</v>
      </c>
      <c r="C458" t="s">
        <v>44</v>
      </c>
      <c r="D458" t="s">
        <v>24</v>
      </c>
      <c r="E458" t="s">
        <v>45</v>
      </c>
      <c r="F458" t="s">
        <v>39</v>
      </c>
      <c r="G458">
        <v>801</v>
      </c>
      <c r="H458">
        <v>2879</v>
      </c>
      <c r="I458">
        <v>8042.8218120000001</v>
      </c>
      <c r="J458" t="b">
        <v>1</v>
      </c>
      <c r="K458">
        <v>19</v>
      </c>
      <c r="L458" t="b">
        <v>0</v>
      </c>
      <c r="M458">
        <v>63129.526389999999</v>
      </c>
      <c r="N458">
        <v>1889.5</v>
      </c>
      <c r="O458">
        <v>6488</v>
      </c>
      <c r="P458" t="s">
        <v>27</v>
      </c>
      <c r="Q458">
        <v>0.42392167240010586</v>
      </c>
      <c r="R458" t="s">
        <v>37</v>
      </c>
      <c r="S458">
        <v>10.04097604494382</v>
      </c>
      <c r="T458">
        <v>0.2912299630086313</v>
      </c>
      <c r="U458" t="s">
        <v>34</v>
      </c>
      <c r="V458">
        <v>0</v>
      </c>
    </row>
    <row r="459" spans="1:22" x14ac:dyDescent="0.3">
      <c r="A459" s="1">
        <v>44914</v>
      </c>
      <c r="B459" t="s">
        <v>38</v>
      </c>
      <c r="C459" t="s">
        <v>44</v>
      </c>
      <c r="D459" t="s">
        <v>35</v>
      </c>
      <c r="E459" t="s">
        <v>45</v>
      </c>
      <c r="F459" t="s">
        <v>26</v>
      </c>
      <c r="G459">
        <v>260</v>
      </c>
      <c r="H459">
        <v>900</v>
      </c>
      <c r="I459">
        <v>4385.1698770000003</v>
      </c>
      <c r="J459" t="b">
        <v>1</v>
      </c>
      <c r="K459">
        <v>18</v>
      </c>
      <c r="L459" t="b">
        <v>0</v>
      </c>
      <c r="M459">
        <v>47804.209009999999</v>
      </c>
      <c r="N459">
        <v>1503.5</v>
      </c>
      <c r="O459">
        <v>5453</v>
      </c>
      <c r="P459" t="s">
        <v>36</v>
      </c>
      <c r="Q459">
        <v>0.17292983039574328</v>
      </c>
      <c r="R459" t="s">
        <v>37</v>
      </c>
      <c r="S459">
        <v>16.866037988461539</v>
      </c>
      <c r="T459">
        <v>0.27571978727306068</v>
      </c>
      <c r="U459" t="s">
        <v>34</v>
      </c>
      <c r="V459">
        <v>0</v>
      </c>
    </row>
    <row r="460" spans="1:22" x14ac:dyDescent="0.3">
      <c r="A460" s="1">
        <v>44915</v>
      </c>
      <c r="B460" t="s">
        <v>38</v>
      </c>
      <c r="C460" t="s">
        <v>23</v>
      </c>
      <c r="D460" t="s">
        <v>24</v>
      </c>
      <c r="E460" t="s">
        <v>45</v>
      </c>
      <c r="F460" t="s">
        <v>26</v>
      </c>
      <c r="G460">
        <v>489</v>
      </c>
      <c r="H460">
        <v>2107</v>
      </c>
      <c r="I460">
        <v>2020.118334</v>
      </c>
      <c r="J460" t="b">
        <v>1</v>
      </c>
      <c r="K460">
        <v>6</v>
      </c>
      <c r="L460" t="b">
        <v>0</v>
      </c>
      <c r="M460">
        <v>50425.027650000004</v>
      </c>
      <c r="N460">
        <v>2146.5</v>
      </c>
      <c r="O460">
        <v>7233</v>
      </c>
      <c r="P460" t="s">
        <v>36</v>
      </c>
      <c r="Q460">
        <v>0.22781271837875611</v>
      </c>
      <c r="R460" t="s">
        <v>40</v>
      </c>
      <c r="S460">
        <v>4.1311213374233127</v>
      </c>
      <c r="T460">
        <v>0.29676482787225217</v>
      </c>
      <c r="U460" t="s">
        <v>34</v>
      </c>
      <c r="V460">
        <v>0</v>
      </c>
    </row>
    <row r="461" spans="1:22" x14ac:dyDescent="0.3">
      <c r="A461" s="1">
        <v>44916</v>
      </c>
      <c r="B461" t="s">
        <v>30</v>
      </c>
      <c r="C461" t="s">
        <v>31</v>
      </c>
      <c r="D461" t="s">
        <v>46</v>
      </c>
      <c r="E461" t="s">
        <v>45</v>
      </c>
      <c r="F461" t="s">
        <v>26</v>
      </c>
      <c r="G461">
        <v>69</v>
      </c>
      <c r="H461">
        <v>2186</v>
      </c>
      <c r="I461">
        <v>14009.05912</v>
      </c>
      <c r="J461" t="b">
        <v>1</v>
      </c>
      <c r="K461">
        <v>7</v>
      </c>
      <c r="L461" t="b">
        <v>1</v>
      </c>
      <c r="M461">
        <v>3967.8409999999999</v>
      </c>
      <c r="N461">
        <v>3105</v>
      </c>
      <c r="O461">
        <v>5711</v>
      </c>
      <c r="P461" t="s">
        <v>36</v>
      </c>
      <c r="Q461">
        <v>2.2222222222222223E-2</v>
      </c>
      <c r="R461" t="s">
        <v>40</v>
      </c>
      <c r="S461">
        <v>203.02984231884056</v>
      </c>
      <c r="T461">
        <v>0.54368762038171947</v>
      </c>
      <c r="U461" t="s">
        <v>29</v>
      </c>
      <c r="V461">
        <v>1</v>
      </c>
    </row>
    <row r="462" spans="1:22" x14ac:dyDescent="0.3">
      <c r="A462" s="1">
        <v>44917</v>
      </c>
      <c r="B462" t="s">
        <v>42</v>
      </c>
      <c r="C462" t="s">
        <v>31</v>
      </c>
      <c r="D462" t="s">
        <v>35</v>
      </c>
      <c r="E462" t="s">
        <v>25</v>
      </c>
      <c r="F462" t="s">
        <v>26</v>
      </c>
      <c r="G462">
        <v>186</v>
      </c>
      <c r="H462">
        <v>4024</v>
      </c>
      <c r="I462">
        <v>4031.160914</v>
      </c>
      <c r="J462" t="b">
        <v>1</v>
      </c>
      <c r="K462">
        <v>19</v>
      </c>
      <c r="L462" t="b">
        <v>0</v>
      </c>
      <c r="M462">
        <v>26574.950659999999</v>
      </c>
      <c r="N462">
        <v>2096.5</v>
      </c>
      <c r="O462">
        <v>5239</v>
      </c>
      <c r="P462" t="s">
        <v>27</v>
      </c>
      <c r="Q462">
        <v>8.8719294061531118E-2</v>
      </c>
      <c r="R462" t="s">
        <v>37</v>
      </c>
      <c r="S462">
        <v>21.672908139784948</v>
      </c>
      <c r="T462">
        <v>0.4001717885092575</v>
      </c>
      <c r="U462" t="s">
        <v>29</v>
      </c>
      <c r="V462">
        <v>0</v>
      </c>
    </row>
    <row r="463" spans="1:22" x14ac:dyDescent="0.3">
      <c r="A463" s="1">
        <v>44918</v>
      </c>
      <c r="B463" t="s">
        <v>22</v>
      </c>
      <c r="C463" t="s">
        <v>44</v>
      </c>
      <c r="D463" t="s">
        <v>24</v>
      </c>
      <c r="E463" t="s">
        <v>25</v>
      </c>
      <c r="F463" t="s">
        <v>26</v>
      </c>
      <c r="G463">
        <v>973</v>
      </c>
      <c r="H463">
        <v>169</v>
      </c>
      <c r="I463">
        <v>10541.45319</v>
      </c>
      <c r="J463" t="b">
        <v>1</v>
      </c>
      <c r="K463">
        <v>16</v>
      </c>
      <c r="L463" t="b">
        <v>0</v>
      </c>
      <c r="M463">
        <v>166674.51490000001</v>
      </c>
      <c r="N463">
        <v>594</v>
      </c>
      <c r="O463">
        <v>8209</v>
      </c>
      <c r="P463" t="s">
        <v>36</v>
      </c>
      <c r="Q463">
        <v>1.638047138047138</v>
      </c>
      <c r="R463" t="s">
        <v>37</v>
      </c>
      <c r="S463">
        <v>10.833970390544707</v>
      </c>
      <c r="T463">
        <v>7.235960531124376E-2</v>
      </c>
      <c r="U463" t="s">
        <v>34</v>
      </c>
      <c r="V463">
        <v>0</v>
      </c>
    </row>
    <row r="464" spans="1:22" x14ac:dyDescent="0.3">
      <c r="A464" s="1">
        <v>44919</v>
      </c>
      <c r="B464" t="s">
        <v>22</v>
      </c>
      <c r="C464" t="s">
        <v>44</v>
      </c>
      <c r="D464" t="s">
        <v>46</v>
      </c>
      <c r="E464" t="s">
        <v>25</v>
      </c>
      <c r="F464" t="s">
        <v>26</v>
      </c>
      <c r="G464">
        <v>126</v>
      </c>
      <c r="H464">
        <v>1019</v>
      </c>
      <c r="I464">
        <v>13386.91101</v>
      </c>
      <c r="J464" t="b">
        <v>1</v>
      </c>
      <c r="K464">
        <v>7</v>
      </c>
      <c r="L464" t="b">
        <v>0</v>
      </c>
      <c r="M464">
        <v>16652.98229</v>
      </c>
      <c r="N464">
        <v>680</v>
      </c>
      <c r="O464">
        <v>5292</v>
      </c>
      <c r="P464" t="s">
        <v>27</v>
      </c>
      <c r="Q464">
        <v>0.18529411764705883</v>
      </c>
      <c r="R464" t="s">
        <v>40</v>
      </c>
      <c r="S464">
        <v>106.24532547619047</v>
      </c>
      <c r="T464">
        <v>0.12849584278155707</v>
      </c>
      <c r="U464" t="s">
        <v>34</v>
      </c>
      <c r="V464">
        <v>0</v>
      </c>
    </row>
    <row r="465" spans="1:22" x14ac:dyDescent="0.3">
      <c r="A465" s="1">
        <v>44920</v>
      </c>
      <c r="B465" t="s">
        <v>42</v>
      </c>
      <c r="C465" t="s">
        <v>31</v>
      </c>
      <c r="D465" t="s">
        <v>32</v>
      </c>
      <c r="E465" t="s">
        <v>25</v>
      </c>
      <c r="F465" t="s">
        <v>43</v>
      </c>
      <c r="G465">
        <v>348</v>
      </c>
      <c r="H465">
        <v>341</v>
      </c>
      <c r="I465">
        <v>10385.889719999999</v>
      </c>
      <c r="J465" t="b">
        <v>1</v>
      </c>
      <c r="K465">
        <v>9</v>
      </c>
      <c r="L465" t="b">
        <v>0</v>
      </c>
      <c r="M465">
        <v>34273.644749999999</v>
      </c>
      <c r="N465">
        <v>1060.5</v>
      </c>
      <c r="O465">
        <v>8624</v>
      </c>
      <c r="P465" t="s">
        <v>36</v>
      </c>
      <c r="Q465">
        <v>0.32814710042432815</v>
      </c>
      <c r="R465" t="s">
        <v>28</v>
      </c>
      <c r="S465">
        <v>29.84451068965517</v>
      </c>
      <c r="T465">
        <v>0.12297077922077922</v>
      </c>
      <c r="U465" t="s">
        <v>34</v>
      </c>
      <c r="V465">
        <v>0</v>
      </c>
    </row>
    <row r="466" spans="1:22" x14ac:dyDescent="0.3">
      <c r="A466" s="1">
        <v>44921</v>
      </c>
      <c r="B466" t="s">
        <v>30</v>
      </c>
      <c r="C466" t="s">
        <v>23</v>
      </c>
      <c r="D466" t="s">
        <v>35</v>
      </c>
      <c r="E466" t="s">
        <v>25</v>
      </c>
      <c r="F466" t="s">
        <v>26</v>
      </c>
      <c r="G466">
        <v>968</v>
      </c>
      <c r="H466">
        <v>1780</v>
      </c>
      <c r="I466">
        <v>11939.704299999999</v>
      </c>
      <c r="J466" t="b">
        <v>1</v>
      </c>
      <c r="K466">
        <v>24</v>
      </c>
      <c r="L466" t="b">
        <v>0</v>
      </c>
      <c r="M466">
        <v>28435.796900000001</v>
      </c>
      <c r="N466">
        <v>1128.5</v>
      </c>
      <c r="O466">
        <v>5528</v>
      </c>
      <c r="P466" t="s">
        <v>27</v>
      </c>
      <c r="Q466">
        <v>0.85777580859548075</v>
      </c>
      <c r="R466" t="s">
        <v>37</v>
      </c>
      <c r="S466">
        <v>12.334405268595042</v>
      </c>
      <c r="T466">
        <v>0.2041425470332851</v>
      </c>
      <c r="U466" t="s">
        <v>34</v>
      </c>
      <c r="V466">
        <v>0</v>
      </c>
    </row>
    <row r="467" spans="1:22" x14ac:dyDescent="0.3">
      <c r="A467" s="1">
        <v>44922</v>
      </c>
      <c r="B467" t="s">
        <v>38</v>
      </c>
      <c r="C467" t="s">
        <v>31</v>
      </c>
      <c r="D467" t="s">
        <v>46</v>
      </c>
      <c r="E467" t="s">
        <v>25</v>
      </c>
      <c r="F467" t="s">
        <v>26</v>
      </c>
      <c r="G467">
        <v>75</v>
      </c>
      <c r="H467">
        <v>477</v>
      </c>
      <c r="I467">
        <v>5075.5253789999997</v>
      </c>
      <c r="J467" t="b">
        <v>1</v>
      </c>
      <c r="K467">
        <v>13</v>
      </c>
      <c r="L467" t="b">
        <v>0</v>
      </c>
      <c r="M467">
        <v>2893.993927</v>
      </c>
      <c r="N467">
        <v>1023</v>
      </c>
      <c r="O467">
        <v>5806</v>
      </c>
      <c r="P467" t="s">
        <v>36</v>
      </c>
      <c r="Q467">
        <v>7.331378299120235E-2</v>
      </c>
      <c r="R467" t="s">
        <v>28</v>
      </c>
      <c r="S467">
        <v>67.673671720000002</v>
      </c>
      <c r="T467">
        <v>0.17619703754736479</v>
      </c>
      <c r="U467" t="s">
        <v>34</v>
      </c>
      <c r="V467">
        <v>0</v>
      </c>
    </row>
    <row r="468" spans="1:22" x14ac:dyDescent="0.3">
      <c r="A468" s="1">
        <v>44923</v>
      </c>
      <c r="B468" t="s">
        <v>42</v>
      </c>
      <c r="C468" t="s">
        <v>31</v>
      </c>
      <c r="D468" t="s">
        <v>24</v>
      </c>
      <c r="E468" t="s">
        <v>25</v>
      </c>
      <c r="F468" t="s">
        <v>26</v>
      </c>
      <c r="G468">
        <v>676</v>
      </c>
      <c r="H468">
        <v>1569</v>
      </c>
      <c r="I468">
        <v>7513.516936</v>
      </c>
      <c r="J468" t="b">
        <v>1</v>
      </c>
      <c r="K468">
        <v>2</v>
      </c>
      <c r="L468" t="b">
        <v>0</v>
      </c>
      <c r="M468">
        <v>35315.234499999999</v>
      </c>
      <c r="N468">
        <v>2136</v>
      </c>
      <c r="O468">
        <v>8702</v>
      </c>
      <c r="P468" t="s">
        <v>36</v>
      </c>
      <c r="Q468">
        <v>0.31647940074906367</v>
      </c>
      <c r="R468" t="s">
        <v>40</v>
      </c>
      <c r="S468">
        <v>11.114670023668639</v>
      </c>
      <c r="T468">
        <v>0.24546081360606756</v>
      </c>
      <c r="U468" t="s">
        <v>34</v>
      </c>
      <c r="V468">
        <v>0</v>
      </c>
    </row>
    <row r="469" spans="1:22" x14ac:dyDescent="0.3">
      <c r="A469" s="1">
        <v>44924</v>
      </c>
      <c r="B469" t="s">
        <v>22</v>
      </c>
      <c r="C469" t="s">
        <v>41</v>
      </c>
      <c r="D469" t="s">
        <v>46</v>
      </c>
      <c r="E469" t="s">
        <v>33</v>
      </c>
      <c r="F469" t="s">
        <v>26</v>
      </c>
      <c r="G469">
        <v>801</v>
      </c>
      <c r="H469">
        <v>2703</v>
      </c>
      <c r="I469">
        <v>13936.650530000001</v>
      </c>
      <c r="J469" t="b">
        <v>1</v>
      </c>
      <c r="K469">
        <v>1</v>
      </c>
      <c r="L469" t="b">
        <v>0</v>
      </c>
      <c r="M469">
        <v>151858.10310000001</v>
      </c>
      <c r="N469">
        <v>3492</v>
      </c>
      <c r="O469">
        <v>9424</v>
      </c>
      <c r="P469" t="s">
        <v>36</v>
      </c>
      <c r="Q469">
        <v>0.22938144329896906</v>
      </c>
      <c r="R469" t="s">
        <v>40</v>
      </c>
      <c r="S469">
        <v>17.399064332084894</v>
      </c>
      <c r="T469">
        <v>0.37054329371816641</v>
      </c>
      <c r="U469" t="s">
        <v>34</v>
      </c>
      <c r="V469">
        <v>0</v>
      </c>
    </row>
    <row r="470" spans="1:22" x14ac:dyDescent="0.3">
      <c r="A470" s="1">
        <v>44925</v>
      </c>
      <c r="B470" t="s">
        <v>22</v>
      </c>
      <c r="C470" t="s">
        <v>23</v>
      </c>
      <c r="D470" t="s">
        <v>35</v>
      </c>
      <c r="E470" t="s">
        <v>33</v>
      </c>
      <c r="F470" t="s">
        <v>43</v>
      </c>
      <c r="G470">
        <v>907</v>
      </c>
      <c r="H470">
        <v>4281</v>
      </c>
      <c r="I470">
        <v>11625.548070000001</v>
      </c>
      <c r="J470" t="b">
        <v>1</v>
      </c>
      <c r="K470">
        <v>13</v>
      </c>
      <c r="L470" t="b">
        <v>0</v>
      </c>
      <c r="M470">
        <v>131774.63039999999</v>
      </c>
      <c r="N470">
        <v>2825</v>
      </c>
      <c r="O470">
        <v>5594</v>
      </c>
      <c r="P470" t="s">
        <v>27</v>
      </c>
      <c r="Q470">
        <v>0.32106194690265488</v>
      </c>
      <c r="R470" t="s">
        <v>28</v>
      </c>
      <c r="S470">
        <v>12.817583318632856</v>
      </c>
      <c r="T470">
        <v>0.50500536288880948</v>
      </c>
      <c r="U470" t="s">
        <v>29</v>
      </c>
      <c r="V470">
        <v>0</v>
      </c>
    </row>
    <row r="471" spans="1:22" x14ac:dyDescent="0.3">
      <c r="A471" s="1">
        <v>45657</v>
      </c>
      <c r="B471" t="s">
        <v>30</v>
      </c>
      <c r="C471" t="s">
        <v>23</v>
      </c>
      <c r="D471" t="s">
        <v>32</v>
      </c>
      <c r="E471" t="s">
        <v>45</v>
      </c>
      <c r="F471" t="s">
        <v>26</v>
      </c>
      <c r="G471">
        <v>859</v>
      </c>
      <c r="H471">
        <v>1369</v>
      </c>
      <c r="I471">
        <v>4308.7111619999996</v>
      </c>
      <c r="J471" t="b">
        <v>1</v>
      </c>
      <c r="K471">
        <v>9</v>
      </c>
      <c r="L471" t="b">
        <v>0</v>
      </c>
      <c r="M471">
        <v>97615.285940000002</v>
      </c>
      <c r="N471">
        <v>2987</v>
      </c>
      <c r="O471">
        <v>6561</v>
      </c>
      <c r="P471" t="s">
        <v>36</v>
      </c>
      <c r="Q471">
        <v>0.28757951121526615</v>
      </c>
      <c r="R471" t="s">
        <v>28</v>
      </c>
      <c r="S471">
        <v>5.0159617718277065</v>
      </c>
      <c r="T471">
        <v>0.45526596555403137</v>
      </c>
      <c r="U471" t="s">
        <v>29</v>
      </c>
      <c r="V471">
        <v>0</v>
      </c>
    </row>
    <row r="472" spans="1:22" x14ac:dyDescent="0.3">
      <c r="A472" s="1">
        <v>45656</v>
      </c>
      <c r="B472" t="s">
        <v>42</v>
      </c>
      <c r="C472" t="s">
        <v>31</v>
      </c>
      <c r="D472" t="s">
        <v>32</v>
      </c>
      <c r="E472" t="s">
        <v>33</v>
      </c>
      <c r="F472" t="s">
        <v>26</v>
      </c>
      <c r="G472">
        <v>249</v>
      </c>
      <c r="H472">
        <v>4605</v>
      </c>
      <c r="I472">
        <v>8064.8211199999996</v>
      </c>
      <c r="J472" t="b">
        <v>1</v>
      </c>
      <c r="K472">
        <v>17</v>
      </c>
      <c r="L472" t="b">
        <v>0</v>
      </c>
      <c r="M472">
        <v>5733.3022819999996</v>
      </c>
      <c r="N472">
        <v>4467.5</v>
      </c>
      <c r="O472">
        <v>6855</v>
      </c>
      <c r="P472" t="s">
        <v>27</v>
      </c>
      <c r="Q472">
        <v>5.5735870173475095E-2</v>
      </c>
      <c r="R472" t="s">
        <v>37</v>
      </c>
      <c r="S472">
        <v>32.388839839357431</v>
      </c>
      <c r="T472">
        <v>0.65171407731582787</v>
      </c>
      <c r="U472" t="s">
        <v>29</v>
      </c>
      <c r="V472">
        <v>0</v>
      </c>
    </row>
    <row r="473" spans="1:22" x14ac:dyDescent="0.3">
      <c r="A473" s="1">
        <v>45655</v>
      </c>
      <c r="B473" t="s">
        <v>22</v>
      </c>
      <c r="C473" t="s">
        <v>23</v>
      </c>
      <c r="D473" t="s">
        <v>35</v>
      </c>
      <c r="E473" t="s">
        <v>33</v>
      </c>
      <c r="F473" t="s">
        <v>43</v>
      </c>
      <c r="G473">
        <v>260</v>
      </c>
      <c r="H473">
        <v>4330</v>
      </c>
      <c r="I473">
        <v>13463.104369999999</v>
      </c>
      <c r="J473" t="b">
        <v>1</v>
      </c>
      <c r="K473">
        <v>24</v>
      </c>
      <c r="L473" t="b">
        <v>0</v>
      </c>
      <c r="M473">
        <v>6159.0277939999996</v>
      </c>
      <c r="N473">
        <v>3760.5</v>
      </c>
      <c r="O473">
        <v>5447</v>
      </c>
      <c r="P473" t="s">
        <v>27</v>
      </c>
      <c r="Q473">
        <v>6.9139742055577713E-2</v>
      </c>
      <c r="R473" t="s">
        <v>37</v>
      </c>
      <c r="S473">
        <v>51.781170653846154</v>
      </c>
      <c r="T473">
        <v>0.69038002570222146</v>
      </c>
      <c r="U473" t="s">
        <v>29</v>
      </c>
      <c r="V473">
        <v>0</v>
      </c>
    </row>
    <row r="474" spans="1:22" x14ac:dyDescent="0.3">
      <c r="A474" s="1">
        <v>45654</v>
      </c>
      <c r="B474" t="s">
        <v>30</v>
      </c>
      <c r="C474" t="s">
        <v>31</v>
      </c>
      <c r="D474" t="s">
        <v>32</v>
      </c>
      <c r="E474" t="s">
        <v>25</v>
      </c>
      <c r="F474" t="s">
        <v>39</v>
      </c>
      <c r="G474">
        <v>92</v>
      </c>
      <c r="H474">
        <v>3191</v>
      </c>
      <c r="I474">
        <v>518.3871153</v>
      </c>
      <c r="J474" t="b">
        <v>1</v>
      </c>
      <c r="K474">
        <v>19</v>
      </c>
      <c r="L474" t="b">
        <v>0</v>
      </c>
      <c r="M474">
        <v>9473.6971850000009</v>
      </c>
      <c r="N474">
        <v>3008.5</v>
      </c>
      <c r="O474">
        <v>5239</v>
      </c>
      <c r="P474" t="s">
        <v>27</v>
      </c>
      <c r="Q474">
        <v>3.0580023267409009E-2</v>
      </c>
      <c r="R474" t="s">
        <v>37</v>
      </c>
      <c r="S474">
        <v>5.6346425576086956</v>
      </c>
      <c r="T474">
        <v>0.57425081122351596</v>
      </c>
      <c r="U474" t="s">
        <v>29</v>
      </c>
      <c r="V474">
        <v>0</v>
      </c>
    </row>
    <row r="475" spans="1:22" x14ac:dyDescent="0.3">
      <c r="A475" s="1">
        <v>45653</v>
      </c>
      <c r="B475" t="s">
        <v>30</v>
      </c>
      <c r="C475" t="s">
        <v>41</v>
      </c>
      <c r="D475" t="s">
        <v>46</v>
      </c>
      <c r="E475" t="s">
        <v>25</v>
      </c>
      <c r="F475" t="s">
        <v>43</v>
      </c>
      <c r="G475">
        <v>903</v>
      </c>
      <c r="H475">
        <v>2826</v>
      </c>
      <c r="I475">
        <v>9358.4326189999992</v>
      </c>
      <c r="J475" t="b">
        <v>1</v>
      </c>
      <c r="K475">
        <v>10</v>
      </c>
      <c r="L475" t="b">
        <v>0</v>
      </c>
      <c r="M475">
        <v>87079.548710000003</v>
      </c>
      <c r="N475">
        <v>1701.5</v>
      </c>
      <c r="O475">
        <v>8164</v>
      </c>
      <c r="P475" t="s">
        <v>27</v>
      </c>
      <c r="Q475">
        <v>0.53070819864825158</v>
      </c>
      <c r="R475" t="s">
        <v>28</v>
      </c>
      <c r="S475">
        <v>10.363712756367663</v>
      </c>
      <c r="T475">
        <v>0.20841499265066143</v>
      </c>
      <c r="U475" t="s">
        <v>34</v>
      </c>
      <c r="V475">
        <v>0</v>
      </c>
    </row>
    <row r="476" spans="1:22" x14ac:dyDescent="0.3">
      <c r="A476" s="1">
        <v>45652</v>
      </c>
      <c r="B476" t="s">
        <v>22</v>
      </c>
      <c r="C476" t="s">
        <v>41</v>
      </c>
      <c r="D476" t="s">
        <v>32</v>
      </c>
      <c r="E476" t="s">
        <v>25</v>
      </c>
      <c r="F476" t="s">
        <v>43</v>
      </c>
      <c r="G476">
        <v>926</v>
      </c>
      <c r="H476">
        <v>577</v>
      </c>
      <c r="I476">
        <v>14348.416209999999</v>
      </c>
      <c r="J476" t="b">
        <v>1</v>
      </c>
      <c r="K476">
        <v>16</v>
      </c>
      <c r="L476" t="b">
        <v>0</v>
      </c>
      <c r="M476">
        <v>46557.843240000002</v>
      </c>
      <c r="N476">
        <v>1003</v>
      </c>
      <c r="O476">
        <v>7994</v>
      </c>
      <c r="P476" t="s">
        <v>36</v>
      </c>
      <c r="Q476">
        <v>0.9232303090727817</v>
      </c>
      <c r="R476" t="s">
        <v>37</v>
      </c>
      <c r="S476">
        <v>15.495049902807775</v>
      </c>
      <c r="T476">
        <v>0.12546910182636978</v>
      </c>
      <c r="U476" t="s">
        <v>34</v>
      </c>
      <c r="V476">
        <v>0</v>
      </c>
    </row>
    <row r="477" spans="1:22" x14ac:dyDescent="0.3">
      <c r="A477" s="1">
        <v>45651</v>
      </c>
      <c r="B477" t="s">
        <v>22</v>
      </c>
      <c r="C477" t="s">
        <v>44</v>
      </c>
      <c r="D477" t="s">
        <v>24</v>
      </c>
      <c r="E477" t="s">
        <v>45</v>
      </c>
      <c r="F477" t="s">
        <v>26</v>
      </c>
      <c r="G477">
        <v>998</v>
      </c>
      <c r="H477">
        <v>1429</v>
      </c>
      <c r="I477">
        <v>1857.6769529999999</v>
      </c>
      <c r="J477" t="b">
        <v>1</v>
      </c>
      <c r="K477">
        <v>4</v>
      </c>
      <c r="L477" t="b">
        <v>0</v>
      </c>
      <c r="M477">
        <v>124426.1344</v>
      </c>
      <c r="N477">
        <v>1906</v>
      </c>
      <c r="O477">
        <v>6427</v>
      </c>
      <c r="P477" t="s">
        <v>36</v>
      </c>
      <c r="Q477">
        <v>0.52360965372507873</v>
      </c>
      <c r="R477" t="s">
        <v>40</v>
      </c>
      <c r="S477">
        <v>1.8613997525050099</v>
      </c>
      <c r="T477">
        <v>0.29656138167107515</v>
      </c>
      <c r="U477" t="s">
        <v>34</v>
      </c>
      <c r="V477">
        <v>0</v>
      </c>
    </row>
    <row r="478" spans="1:22" x14ac:dyDescent="0.3">
      <c r="A478" s="1">
        <v>45650</v>
      </c>
      <c r="B478" t="s">
        <v>22</v>
      </c>
      <c r="C478" t="s">
        <v>31</v>
      </c>
      <c r="D478" t="s">
        <v>35</v>
      </c>
      <c r="E478" t="s">
        <v>33</v>
      </c>
      <c r="F478" t="s">
        <v>26</v>
      </c>
      <c r="G478">
        <v>160</v>
      </c>
      <c r="H478">
        <v>2383</v>
      </c>
      <c r="I478">
        <v>13849.107980000001</v>
      </c>
      <c r="J478" t="b">
        <v>1</v>
      </c>
      <c r="K478">
        <v>9</v>
      </c>
      <c r="L478" t="b">
        <v>0</v>
      </c>
      <c r="M478">
        <v>7371.7614249999997</v>
      </c>
      <c r="N478">
        <v>3107.5</v>
      </c>
      <c r="O478">
        <v>8832</v>
      </c>
      <c r="P478" t="s">
        <v>36</v>
      </c>
      <c r="Q478">
        <v>5.1488334674175379E-2</v>
      </c>
      <c r="R478" t="s">
        <v>28</v>
      </c>
      <c r="S478">
        <v>86.556924875000007</v>
      </c>
      <c r="T478">
        <v>0.35184556159420288</v>
      </c>
      <c r="U478" t="s">
        <v>34</v>
      </c>
      <c r="V478">
        <v>0</v>
      </c>
    </row>
    <row r="479" spans="1:22" x14ac:dyDescent="0.3">
      <c r="A479" s="1">
        <v>45649</v>
      </c>
      <c r="B479" t="s">
        <v>42</v>
      </c>
      <c r="C479" t="s">
        <v>23</v>
      </c>
      <c r="D479" t="s">
        <v>46</v>
      </c>
      <c r="E479" t="s">
        <v>25</v>
      </c>
      <c r="F479" t="s">
        <v>43</v>
      </c>
      <c r="G479">
        <v>101</v>
      </c>
      <c r="H479">
        <v>3832</v>
      </c>
      <c r="I479">
        <v>2548.033621</v>
      </c>
      <c r="J479" t="b">
        <v>1</v>
      </c>
      <c r="K479">
        <v>29</v>
      </c>
      <c r="L479" t="b">
        <v>0</v>
      </c>
      <c r="M479">
        <v>6919.7030940000004</v>
      </c>
      <c r="N479">
        <v>2392.5</v>
      </c>
      <c r="O479">
        <v>5459</v>
      </c>
      <c r="P479" t="s">
        <v>27</v>
      </c>
      <c r="Q479">
        <v>4.2215256008359459E-2</v>
      </c>
      <c r="R479" t="s">
        <v>37</v>
      </c>
      <c r="S479">
        <v>25.228055653465347</v>
      </c>
      <c r="T479">
        <v>0.4382670818831288</v>
      </c>
      <c r="U479" t="s">
        <v>29</v>
      </c>
      <c r="V479">
        <v>0</v>
      </c>
    </row>
    <row r="480" spans="1:22" x14ac:dyDescent="0.3">
      <c r="A480" s="1">
        <v>45648</v>
      </c>
      <c r="B480" t="s">
        <v>30</v>
      </c>
      <c r="C480" t="s">
        <v>41</v>
      </c>
      <c r="D480" t="s">
        <v>24</v>
      </c>
      <c r="E480" t="s">
        <v>45</v>
      </c>
      <c r="F480" t="s">
        <v>26</v>
      </c>
      <c r="G480">
        <v>525</v>
      </c>
      <c r="H480">
        <v>953</v>
      </c>
      <c r="I480">
        <v>9760.753224</v>
      </c>
      <c r="J480" t="b">
        <v>1</v>
      </c>
      <c r="K480">
        <v>10</v>
      </c>
      <c r="L480" t="b">
        <v>0</v>
      </c>
      <c r="M480">
        <v>37880.203249999999</v>
      </c>
      <c r="N480">
        <v>902</v>
      </c>
      <c r="O480">
        <v>9639</v>
      </c>
      <c r="P480" t="s">
        <v>27</v>
      </c>
      <c r="Q480">
        <v>0.58203991130820398</v>
      </c>
      <c r="R480" t="s">
        <v>28</v>
      </c>
      <c r="S480">
        <v>18.591910902857144</v>
      </c>
      <c r="T480">
        <v>9.3578172009544561E-2</v>
      </c>
      <c r="U480" t="s">
        <v>34</v>
      </c>
      <c r="V480">
        <v>0</v>
      </c>
    </row>
    <row r="481" spans="1:22" x14ac:dyDescent="0.3">
      <c r="A481" s="1">
        <v>45647</v>
      </c>
      <c r="B481" t="s">
        <v>38</v>
      </c>
      <c r="C481" t="s">
        <v>31</v>
      </c>
      <c r="D481" t="s">
        <v>32</v>
      </c>
      <c r="E481" t="s">
        <v>33</v>
      </c>
      <c r="F481" t="s">
        <v>26</v>
      </c>
      <c r="G481">
        <v>135</v>
      </c>
      <c r="H481">
        <v>851</v>
      </c>
      <c r="I481">
        <v>531.67007139999998</v>
      </c>
      <c r="J481" t="b">
        <v>1</v>
      </c>
      <c r="K481">
        <v>29</v>
      </c>
      <c r="L481" t="b">
        <v>0</v>
      </c>
      <c r="M481">
        <v>10652.182479999999</v>
      </c>
      <c r="N481">
        <v>1625.5</v>
      </c>
      <c r="O481">
        <v>9416</v>
      </c>
      <c r="P481" t="s">
        <v>36</v>
      </c>
      <c r="Q481">
        <v>8.3051368809597043E-2</v>
      </c>
      <c r="R481" t="s">
        <v>37</v>
      </c>
      <c r="S481">
        <v>3.9382968251851849</v>
      </c>
      <c r="T481">
        <v>0.17263169073916737</v>
      </c>
      <c r="U481" t="s">
        <v>34</v>
      </c>
      <c r="V481">
        <v>0</v>
      </c>
    </row>
    <row r="482" spans="1:22" x14ac:dyDescent="0.3">
      <c r="A482" s="1">
        <v>45646</v>
      </c>
      <c r="B482" t="s">
        <v>42</v>
      </c>
      <c r="C482" t="s">
        <v>41</v>
      </c>
      <c r="D482" t="s">
        <v>32</v>
      </c>
      <c r="E482" t="s">
        <v>25</v>
      </c>
      <c r="F482" t="s">
        <v>26</v>
      </c>
      <c r="G482">
        <v>490</v>
      </c>
      <c r="H482">
        <v>2400</v>
      </c>
      <c r="I482">
        <v>14997.814050000001</v>
      </c>
      <c r="J482" t="b">
        <v>1</v>
      </c>
      <c r="K482">
        <v>7</v>
      </c>
      <c r="L482" t="b">
        <v>0</v>
      </c>
      <c r="M482">
        <v>87464.363790000003</v>
      </c>
      <c r="N482">
        <v>3527.5</v>
      </c>
      <c r="O482">
        <v>5467</v>
      </c>
      <c r="P482" t="s">
        <v>36</v>
      </c>
      <c r="Q482">
        <v>0.13890857547838412</v>
      </c>
      <c r="R482" t="s">
        <v>40</v>
      </c>
      <c r="S482">
        <v>30.607783775510207</v>
      </c>
      <c r="T482">
        <v>0.6452350466434974</v>
      </c>
      <c r="U482" t="s">
        <v>29</v>
      </c>
      <c r="V482">
        <v>0</v>
      </c>
    </row>
    <row r="483" spans="1:22" x14ac:dyDescent="0.3">
      <c r="A483" s="1">
        <v>45645</v>
      </c>
      <c r="B483" t="s">
        <v>42</v>
      </c>
      <c r="C483" t="s">
        <v>31</v>
      </c>
      <c r="D483" t="s">
        <v>32</v>
      </c>
      <c r="E483" t="s">
        <v>33</v>
      </c>
      <c r="F483" t="s">
        <v>26</v>
      </c>
      <c r="G483">
        <v>237</v>
      </c>
      <c r="H483">
        <v>4655</v>
      </c>
      <c r="I483">
        <v>3385.6637689999998</v>
      </c>
      <c r="J483" t="b">
        <v>1</v>
      </c>
      <c r="K483">
        <v>11</v>
      </c>
      <c r="L483" t="b">
        <v>0</v>
      </c>
      <c r="M483">
        <v>16858.01931</v>
      </c>
      <c r="N483">
        <v>2814</v>
      </c>
      <c r="O483">
        <v>8897</v>
      </c>
      <c r="P483" t="s">
        <v>27</v>
      </c>
      <c r="Q483">
        <v>8.4221748400852878E-2</v>
      </c>
      <c r="R483" t="s">
        <v>28</v>
      </c>
      <c r="S483">
        <v>14.285501135021097</v>
      </c>
      <c r="T483">
        <v>0.31628638867033831</v>
      </c>
      <c r="U483" t="s">
        <v>34</v>
      </c>
      <c r="V483">
        <v>0</v>
      </c>
    </row>
    <row r="484" spans="1:22" x14ac:dyDescent="0.3">
      <c r="A484" s="1">
        <v>45644</v>
      </c>
      <c r="B484" t="s">
        <v>42</v>
      </c>
      <c r="C484" t="s">
        <v>44</v>
      </c>
      <c r="D484" t="s">
        <v>46</v>
      </c>
      <c r="E484" t="s">
        <v>25</v>
      </c>
      <c r="F484" t="s">
        <v>43</v>
      </c>
      <c r="G484">
        <v>958</v>
      </c>
      <c r="H484">
        <v>973</v>
      </c>
      <c r="I484">
        <v>1963.6535710000001</v>
      </c>
      <c r="J484" t="b">
        <v>1</v>
      </c>
      <c r="K484">
        <v>14</v>
      </c>
      <c r="L484" t="b">
        <v>0</v>
      </c>
      <c r="M484">
        <v>122655.37450000001</v>
      </c>
      <c r="N484">
        <v>1104</v>
      </c>
      <c r="O484">
        <v>9718</v>
      </c>
      <c r="P484" t="s">
        <v>36</v>
      </c>
      <c r="Q484">
        <v>0.86775362318840576</v>
      </c>
      <c r="R484" t="s">
        <v>28</v>
      </c>
      <c r="S484">
        <v>2.0497427672233819</v>
      </c>
      <c r="T484">
        <v>0.11360362214447417</v>
      </c>
      <c r="U484" t="s">
        <v>34</v>
      </c>
      <c r="V484">
        <v>0</v>
      </c>
    </row>
    <row r="485" spans="1:22" x14ac:dyDescent="0.3">
      <c r="A485" s="1">
        <v>45643</v>
      </c>
      <c r="B485" t="s">
        <v>30</v>
      </c>
      <c r="C485" t="s">
        <v>23</v>
      </c>
      <c r="D485" t="s">
        <v>24</v>
      </c>
      <c r="E485" t="s">
        <v>33</v>
      </c>
      <c r="F485" t="s">
        <v>43</v>
      </c>
      <c r="G485">
        <v>702</v>
      </c>
      <c r="H485">
        <v>1235</v>
      </c>
      <c r="I485">
        <v>1841.4910070000001</v>
      </c>
      <c r="J485" t="b">
        <v>1</v>
      </c>
      <c r="K485">
        <v>26</v>
      </c>
      <c r="L485" t="b">
        <v>0</v>
      </c>
      <c r="M485">
        <v>14169.17778</v>
      </c>
      <c r="N485">
        <v>1797</v>
      </c>
      <c r="O485">
        <v>6579</v>
      </c>
      <c r="P485" t="s">
        <v>36</v>
      </c>
      <c r="Q485">
        <v>0.39065108514190316</v>
      </c>
      <c r="R485" t="s">
        <v>37</v>
      </c>
      <c r="S485">
        <v>2.623206562678063</v>
      </c>
      <c r="T485">
        <v>0.27314181486548106</v>
      </c>
      <c r="U485" t="s">
        <v>34</v>
      </c>
      <c r="V485">
        <v>0</v>
      </c>
    </row>
    <row r="486" spans="1:22" x14ac:dyDescent="0.3">
      <c r="A486" s="1">
        <v>45642</v>
      </c>
      <c r="B486" t="s">
        <v>42</v>
      </c>
      <c r="C486" t="s">
        <v>44</v>
      </c>
      <c r="D486" t="s">
        <v>24</v>
      </c>
      <c r="E486" t="s">
        <v>25</v>
      </c>
      <c r="F486" t="s">
        <v>43</v>
      </c>
      <c r="G486">
        <v>220</v>
      </c>
      <c r="H486">
        <v>2359</v>
      </c>
      <c r="I486">
        <v>4224.0355470000004</v>
      </c>
      <c r="J486" t="b">
        <v>1</v>
      </c>
      <c r="K486">
        <v>22</v>
      </c>
      <c r="L486" t="b">
        <v>0</v>
      </c>
      <c r="M486">
        <v>6311.5667240000002</v>
      </c>
      <c r="N486">
        <v>3511.5</v>
      </c>
      <c r="O486">
        <v>7019</v>
      </c>
      <c r="P486" t="s">
        <v>36</v>
      </c>
      <c r="Q486">
        <v>6.2651288623095547E-2</v>
      </c>
      <c r="R486" t="s">
        <v>37</v>
      </c>
      <c r="S486">
        <v>19.200161577272731</v>
      </c>
      <c r="T486">
        <v>0.50028494087476849</v>
      </c>
      <c r="U486" t="s">
        <v>29</v>
      </c>
      <c r="V486">
        <v>0</v>
      </c>
    </row>
    <row r="487" spans="1:22" x14ac:dyDescent="0.3">
      <c r="A487" s="1">
        <v>45641</v>
      </c>
      <c r="B487" t="s">
        <v>42</v>
      </c>
      <c r="C487" t="s">
        <v>23</v>
      </c>
      <c r="D487" t="s">
        <v>46</v>
      </c>
      <c r="E487" t="s">
        <v>25</v>
      </c>
      <c r="F487" t="s">
        <v>26</v>
      </c>
      <c r="G487">
        <v>734</v>
      </c>
      <c r="H487">
        <v>4664</v>
      </c>
      <c r="I487">
        <v>1802.420877</v>
      </c>
      <c r="J487" t="b">
        <v>1</v>
      </c>
      <c r="K487">
        <v>20</v>
      </c>
      <c r="L487" t="b">
        <v>0</v>
      </c>
      <c r="M487">
        <v>139538.3499</v>
      </c>
      <c r="N487">
        <v>3154.5</v>
      </c>
      <c r="O487">
        <v>6813</v>
      </c>
      <c r="P487" t="s">
        <v>27</v>
      </c>
      <c r="Q487">
        <v>0.23268346806149945</v>
      </c>
      <c r="R487" t="s">
        <v>37</v>
      </c>
      <c r="S487">
        <v>2.4556142738419617</v>
      </c>
      <c r="T487">
        <v>0.46301188903566709</v>
      </c>
      <c r="U487" t="s">
        <v>29</v>
      </c>
      <c r="V487">
        <v>0</v>
      </c>
    </row>
    <row r="488" spans="1:22" x14ac:dyDescent="0.3">
      <c r="A488" s="1">
        <v>45640</v>
      </c>
      <c r="B488" t="s">
        <v>42</v>
      </c>
      <c r="C488" t="s">
        <v>44</v>
      </c>
      <c r="D488" t="s">
        <v>32</v>
      </c>
      <c r="E488" t="s">
        <v>25</v>
      </c>
      <c r="F488" t="s">
        <v>43</v>
      </c>
      <c r="G488">
        <v>151</v>
      </c>
      <c r="H488">
        <v>1645</v>
      </c>
      <c r="I488">
        <v>5721.4446459999999</v>
      </c>
      <c r="J488" t="b">
        <v>1</v>
      </c>
      <c r="K488">
        <v>7</v>
      </c>
      <c r="L488" t="b">
        <v>0</v>
      </c>
      <c r="M488">
        <v>19695.687890000001</v>
      </c>
      <c r="N488">
        <v>1242</v>
      </c>
      <c r="O488">
        <v>8245</v>
      </c>
      <c r="P488" t="s">
        <v>27</v>
      </c>
      <c r="Q488">
        <v>0.1215780998389694</v>
      </c>
      <c r="R488" t="s">
        <v>40</v>
      </c>
      <c r="S488">
        <v>37.890361894039735</v>
      </c>
      <c r="T488">
        <v>0.15063674954517889</v>
      </c>
      <c r="U488" t="s">
        <v>34</v>
      </c>
      <c r="V488">
        <v>0</v>
      </c>
    </row>
    <row r="489" spans="1:22" x14ac:dyDescent="0.3">
      <c r="A489" s="1">
        <v>45639</v>
      </c>
      <c r="B489" t="s">
        <v>22</v>
      </c>
      <c r="C489" t="s">
        <v>44</v>
      </c>
      <c r="D489" t="s">
        <v>46</v>
      </c>
      <c r="E489" t="s">
        <v>25</v>
      </c>
      <c r="F489" t="s">
        <v>26</v>
      </c>
      <c r="G489">
        <v>836</v>
      </c>
      <c r="H489">
        <v>839</v>
      </c>
      <c r="I489">
        <v>727.5906311</v>
      </c>
      <c r="J489" t="b">
        <v>1</v>
      </c>
      <c r="K489">
        <v>9</v>
      </c>
      <c r="L489" t="b">
        <v>0</v>
      </c>
      <c r="M489">
        <v>55154.160129999997</v>
      </c>
      <c r="N489">
        <v>2159.5</v>
      </c>
      <c r="O489">
        <v>8169</v>
      </c>
      <c r="P489" t="s">
        <v>36</v>
      </c>
      <c r="Q489">
        <v>0.38712664968742766</v>
      </c>
      <c r="R489" t="s">
        <v>28</v>
      </c>
      <c r="S489">
        <v>0.87032372141148329</v>
      </c>
      <c r="T489">
        <v>0.26435304198800341</v>
      </c>
      <c r="U489" t="s">
        <v>34</v>
      </c>
      <c r="V489">
        <v>0</v>
      </c>
    </row>
    <row r="490" spans="1:22" x14ac:dyDescent="0.3">
      <c r="A490" s="1">
        <v>45638</v>
      </c>
      <c r="B490" t="s">
        <v>38</v>
      </c>
      <c r="C490" t="s">
        <v>44</v>
      </c>
      <c r="D490" t="s">
        <v>35</v>
      </c>
      <c r="E490" t="s">
        <v>45</v>
      </c>
      <c r="F490" t="s">
        <v>26</v>
      </c>
      <c r="G490">
        <v>292</v>
      </c>
      <c r="H490">
        <v>3480</v>
      </c>
      <c r="I490">
        <v>3995.4330150000001</v>
      </c>
      <c r="J490" t="b">
        <v>1</v>
      </c>
      <c r="K490">
        <v>16</v>
      </c>
      <c r="L490" t="b">
        <v>0</v>
      </c>
      <c r="M490">
        <v>19776.611430000001</v>
      </c>
      <c r="N490">
        <v>3131.5</v>
      </c>
      <c r="O490">
        <v>5813</v>
      </c>
      <c r="P490" t="s">
        <v>27</v>
      </c>
      <c r="Q490">
        <v>9.3246048219703018E-2</v>
      </c>
      <c r="R490" t="s">
        <v>37</v>
      </c>
      <c r="S490">
        <v>13.68298977739726</v>
      </c>
      <c r="T490">
        <v>0.53870634784104598</v>
      </c>
      <c r="U490" t="s">
        <v>29</v>
      </c>
      <c r="V490">
        <v>0</v>
      </c>
    </row>
    <row r="491" spans="1:22" x14ac:dyDescent="0.3">
      <c r="A491" s="1">
        <v>45637</v>
      </c>
      <c r="B491" t="s">
        <v>30</v>
      </c>
      <c r="C491" t="s">
        <v>23</v>
      </c>
      <c r="D491" t="s">
        <v>24</v>
      </c>
      <c r="E491" t="s">
        <v>33</v>
      </c>
      <c r="F491" t="s">
        <v>43</v>
      </c>
      <c r="G491">
        <v>821</v>
      </c>
      <c r="H491">
        <v>2783</v>
      </c>
      <c r="I491">
        <v>6147.9823759999999</v>
      </c>
      <c r="J491" t="b">
        <v>1</v>
      </c>
      <c r="K491">
        <v>5</v>
      </c>
      <c r="L491" t="b">
        <v>0</v>
      </c>
      <c r="M491">
        <v>39180.53256</v>
      </c>
      <c r="N491">
        <v>2278.5</v>
      </c>
      <c r="O491">
        <v>7301</v>
      </c>
      <c r="P491" t="s">
        <v>27</v>
      </c>
      <c r="Q491">
        <v>0.36032477507131883</v>
      </c>
      <c r="R491" t="s">
        <v>40</v>
      </c>
      <c r="S491">
        <v>7.4884072789281362</v>
      </c>
      <c r="T491">
        <v>0.31208053691275167</v>
      </c>
      <c r="U491" t="s">
        <v>34</v>
      </c>
      <c r="V491">
        <v>0</v>
      </c>
    </row>
    <row r="492" spans="1:22" x14ac:dyDescent="0.3">
      <c r="A492" s="1">
        <v>45636</v>
      </c>
      <c r="B492" t="s">
        <v>42</v>
      </c>
      <c r="C492" t="s">
        <v>41</v>
      </c>
      <c r="D492" t="s">
        <v>46</v>
      </c>
      <c r="E492" t="s">
        <v>45</v>
      </c>
      <c r="F492" t="s">
        <v>43</v>
      </c>
      <c r="G492">
        <v>728</v>
      </c>
      <c r="H492">
        <v>1774</v>
      </c>
      <c r="I492">
        <v>2097.0631020000001</v>
      </c>
      <c r="J492" t="b">
        <v>1</v>
      </c>
      <c r="K492">
        <v>20</v>
      </c>
      <c r="L492" t="b">
        <v>0</v>
      </c>
      <c r="M492">
        <v>59591.543299999998</v>
      </c>
      <c r="N492">
        <v>2220.5</v>
      </c>
      <c r="O492">
        <v>9058</v>
      </c>
      <c r="P492" t="s">
        <v>36</v>
      </c>
      <c r="Q492">
        <v>0.32785408691736095</v>
      </c>
      <c r="R492" t="s">
        <v>37</v>
      </c>
      <c r="S492">
        <v>2.8805811840659343</v>
      </c>
      <c r="T492">
        <v>0.24514241554427027</v>
      </c>
      <c r="U492" t="s">
        <v>34</v>
      </c>
      <c r="V492">
        <v>0</v>
      </c>
    </row>
    <row r="493" spans="1:22" x14ac:dyDescent="0.3">
      <c r="A493" s="1">
        <v>45635</v>
      </c>
      <c r="B493" t="s">
        <v>42</v>
      </c>
      <c r="C493" t="s">
        <v>44</v>
      </c>
      <c r="D493" t="s">
        <v>24</v>
      </c>
      <c r="E493" t="s">
        <v>25</v>
      </c>
      <c r="F493" t="s">
        <v>26</v>
      </c>
      <c r="G493">
        <v>122</v>
      </c>
      <c r="H493">
        <v>2667</v>
      </c>
      <c r="I493">
        <v>7737.0755429999999</v>
      </c>
      <c r="J493" t="b">
        <v>1</v>
      </c>
      <c r="K493">
        <v>12</v>
      </c>
      <c r="L493" t="b">
        <v>0</v>
      </c>
      <c r="M493">
        <v>16130.701419999999</v>
      </c>
      <c r="N493">
        <v>2854.5</v>
      </c>
      <c r="O493">
        <v>9097</v>
      </c>
      <c r="P493" t="s">
        <v>36</v>
      </c>
      <c r="Q493">
        <v>4.2739534069013839E-2</v>
      </c>
      <c r="R493" t="s">
        <v>28</v>
      </c>
      <c r="S493">
        <v>63.41865199180328</v>
      </c>
      <c r="T493">
        <v>0.31378476420798063</v>
      </c>
      <c r="U493" t="s">
        <v>34</v>
      </c>
      <c r="V493">
        <v>0</v>
      </c>
    </row>
    <row r="494" spans="1:22" x14ac:dyDescent="0.3">
      <c r="A494" s="1">
        <v>45634</v>
      </c>
      <c r="B494" t="s">
        <v>42</v>
      </c>
      <c r="C494" t="s">
        <v>41</v>
      </c>
      <c r="D494" t="s">
        <v>32</v>
      </c>
      <c r="E494" t="s">
        <v>25</v>
      </c>
      <c r="F494" t="s">
        <v>26</v>
      </c>
      <c r="G494">
        <v>325</v>
      </c>
      <c r="H494">
        <v>3042</v>
      </c>
      <c r="I494">
        <v>7862.4062020000001</v>
      </c>
      <c r="J494" t="b">
        <v>1</v>
      </c>
      <c r="K494">
        <v>7</v>
      </c>
      <c r="L494" t="b">
        <v>1</v>
      </c>
      <c r="M494">
        <v>60966.953309999997</v>
      </c>
      <c r="N494">
        <v>3330</v>
      </c>
      <c r="O494">
        <v>6478</v>
      </c>
      <c r="P494" t="s">
        <v>36</v>
      </c>
      <c r="Q494">
        <v>9.7597597597597591E-2</v>
      </c>
      <c r="R494" t="s">
        <v>40</v>
      </c>
      <c r="S494">
        <v>24.192019083076925</v>
      </c>
      <c r="T494">
        <v>0.51404754553874654</v>
      </c>
      <c r="U494" t="s">
        <v>29</v>
      </c>
      <c r="V494">
        <v>1</v>
      </c>
    </row>
    <row r="495" spans="1:22" x14ac:dyDescent="0.3">
      <c r="A495" s="1">
        <v>45633</v>
      </c>
      <c r="B495" t="s">
        <v>42</v>
      </c>
      <c r="C495" t="s">
        <v>41</v>
      </c>
      <c r="D495" t="s">
        <v>46</v>
      </c>
      <c r="E495" t="s">
        <v>25</v>
      </c>
      <c r="F495" t="s">
        <v>26</v>
      </c>
      <c r="G495">
        <v>670</v>
      </c>
      <c r="H495">
        <v>3618</v>
      </c>
      <c r="I495">
        <v>10984.328320000001</v>
      </c>
      <c r="J495" t="b">
        <v>1</v>
      </c>
      <c r="K495">
        <v>10</v>
      </c>
      <c r="L495" t="b">
        <v>0</v>
      </c>
      <c r="M495">
        <v>112623.65180000001</v>
      </c>
      <c r="N495">
        <v>3528</v>
      </c>
      <c r="O495">
        <v>8464</v>
      </c>
      <c r="P495" t="s">
        <v>27</v>
      </c>
      <c r="Q495">
        <v>0.1899092970521542</v>
      </c>
      <c r="R495" t="s">
        <v>28</v>
      </c>
      <c r="S495">
        <v>16.394519880597016</v>
      </c>
      <c r="T495">
        <v>0.41682419659735348</v>
      </c>
      <c r="U495" t="s">
        <v>29</v>
      </c>
      <c r="V495">
        <v>0</v>
      </c>
    </row>
    <row r="496" spans="1:22" x14ac:dyDescent="0.3">
      <c r="A496" s="1">
        <v>45632</v>
      </c>
      <c r="B496" t="s">
        <v>22</v>
      </c>
      <c r="C496" t="s">
        <v>44</v>
      </c>
      <c r="D496" t="s">
        <v>24</v>
      </c>
      <c r="E496" t="s">
        <v>25</v>
      </c>
      <c r="F496" t="s">
        <v>26</v>
      </c>
      <c r="G496">
        <v>261</v>
      </c>
      <c r="H496">
        <v>3438</v>
      </c>
      <c r="I496">
        <v>5309.0387410000003</v>
      </c>
      <c r="J496" t="b">
        <v>1</v>
      </c>
      <c r="K496">
        <v>19</v>
      </c>
      <c r="L496" t="b">
        <v>0</v>
      </c>
      <c r="M496">
        <v>11991.493490000001</v>
      </c>
      <c r="N496">
        <v>2946</v>
      </c>
      <c r="O496">
        <v>5037</v>
      </c>
      <c r="P496" t="s">
        <v>27</v>
      </c>
      <c r="Q496">
        <v>8.8594704684317724E-2</v>
      </c>
      <c r="R496" t="s">
        <v>37</v>
      </c>
      <c r="S496">
        <v>20.341144601532569</v>
      </c>
      <c r="T496">
        <v>0.58487194758784988</v>
      </c>
      <c r="U496" t="s">
        <v>29</v>
      </c>
      <c r="V496">
        <v>0</v>
      </c>
    </row>
    <row r="497" spans="1:22" x14ac:dyDescent="0.3">
      <c r="A497" s="1">
        <v>45631</v>
      </c>
      <c r="B497" t="s">
        <v>22</v>
      </c>
      <c r="C497" t="s">
        <v>31</v>
      </c>
      <c r="D497" t="s">
        <v>46</v>
      </c>
      <c r="E497" t="s">
        <v>25</v>
      </c>
      <c r="F497" t="s">
        <v>26</v>
      </c>
      <c r="G497">
        <v>253</v>
      </c>
      <c r="H497">
        <v>2454</v>
      </c>
      <c r="I497">
        <v>8789.3437360000007</v>
      </c>
      <c r="J497" t="b">
        <v>1</v>
      </c>
      <c r="K497">
        <v>12</v>
      </c>
      <c r="L497" t="b">
        <v>0</v>
      </c>
      <c r="M497">
        <v>24777.342089999998</v>
      </c>
      <c r="N497">
        <v>3643</v>
      </c>
      <c r="O497">
        <v>6024</v>
      </c>
      <c r="P497" t="s">
        <v>36</v>
      </c>
      <c r="Q497">
        <v>6.9448256931100738E-2</v>
      </c>
      <c r="R497" t="s">
        <v>28</v>
      </c>
      <c r="S497">
        <v>34.740489075098814</v>
      </c>
      <c r="T497">
        <v>0.60474767596281542</v>
      </c>
      <c r="U497" t="s">
        <v>29</v>
      </c>
      <c r="V497">
        <v>0</v>
      </c>
    </row>
    <row r="498" spans="1:22" x14ac:dyDescent="0.3">
      <c r="A498" s="1">
        <v>45630</v>
      </c>
      <c r="B498" t="s">
        <v>42</v>
      </c>
      <c r="C498" t="s">
        <v>41</v>
      </c>
      <c r="D498" t="s">
        <v>46</v>
      </c>
      <c r="E498" t="s">
        <v>33</v>
      </c>
      <c r="F498" t="s">
        <v>43</v>
      </c>
      <c r="G498">
        <v>413</v>
      </c>
      <c r="H498">
        <v>4832</v>
      </c>
      <c r="I498">
        <v>13294.933199999999</v>
      </c>
      <c r="J498" t="b">
        <v>1</v>
      </c>
      <c r="K498">
        <v>16</v>
      </c>
      <c r="L498" t="b">
        <v>0</v>
      </c>
      <c r="M498">
        <v>37152.687149999998</v>
      </c>
      <c r="N498">
        <v>4709.5</v>
      </c>
      <c r="O498">
        <v>6084</v>
      </c>
      <c r="P498" t="s">
        <v>27</v>
      </c>
      <c r="Q498">
        <v>8.7695084403864532E-2</v>
      </c>
      <c r="R498" t="s">
        <v>37</v>
      </c>
      <c r="S498">
        <v>32.191121549636804</v>
      </c>
      <c r="T498">
        <v>0.77407955292570674</v>
      </c>
      <c r="U498" t="s">
        <v>29</v>
      </c>
      <c r="V498">
        <v>0</v>
      </c>
    </row>
    <row r="499" spans="1:22" x14ac:dyDescent="0.3">
      <c r="A499" s="1">
        <v>45629</v>
      </c>
      <c r="B499" t="s">
        <v>22</v>
      </c>
      <c r="C499" t="s">
        <v>41</v>
      </c>
      <c r="D499" t="s">
        <v>35</v>
      </c>
      <c r="E499" t="s">
        <v>45</v>
      </c>
      <c r="F499" t="s">
        <v>26</v>
      </c>
      <c r="G499">
        <v>524</v>
      </c>
      <c r="H499">
        <v>4587</v>
      </c>
      <c r="I499">
        <v>645.15095310000004</v>
      </c>
      <c r="J499" t="b">
        <v>1</v>
      </c>
      <c r="K499">
        <v>12</v>
      </c>
      <c r="L499" t="b">
        <v>0</v>
      </c>
      <c r="M499">
        <v>79659.972859999994</v>
      </c>
      <c r="N499">
        <v>2730</v>
      </c>
      <c r="O499">
        <v>6338</v>
      </c>
      <c r="P499" t="s">
        <v>27</v>
      </c>
      <c r="Q499">
        <v>0.19194139194139195</v>
      </c>
      <c r="R499" t="s">
        <v>28</v>
      </c>
      <c r="S499">
        <v>1.2312041089694656</v>
      </c>
      <c r="T499">
        <v>0.43073524771221205</v>
      </c>
      <c r="U499" t="s">
        <v>29</v>
      </c>
      <c r="V499">
        <v>0</v>
      </c>
    </row>
    <row r="500" spans="1:22" x14ac:dyDescent="0.3">
      <c r="A500" s="1">
        <v>45628</v>
      </c>
      <c r="B500" t="s">
        <v>42</v>
      </c>
      <c r="C500" t="s">
        <v>41</v>
      </c>
      <c r="D500" t="s">
        <v>24</v>
      </c>
      <c r="E500" t="s">
        <v>45</v>
      </c>
      <c r="F500" t="s">
        <v>43</v>
      </c>
      <c r="G500">
        <v>758</v>
      </c>
      <c r="H500">
        <v>873</v>
      </c>
      <c r="I500">
        <v>13340.611929999999</v>
      </c>
      <c r="J500" t="b">
        <v>1</v>
      </c>
      <c r="K500">
        <v>26</v>
      </c>
      <c r="L500" t="b">
        <v>0</v>
      </c>
      <c r="M500">
        <v>105205.79889999999</v>
      </c>
      <c r="N500">
        <v>919</v>
      </c>
      <c r="O500">
        <v>9036</v>
      </c>
      <c r="P500" t="s">
        <v>36</v>
      </c>
      <c r="Q500">
        <v>0.82480957562568014</v>
      </c>
      <c r="R500" t="s">
        <v>37</v>
      </c>
      <c r="S500">
        <v>17.599751886543533</v>
      </c>
      <c r="T500">
        <v>0.10170429393536963</v>
      </c>
      <c r="U500" t="s">
        <v>34</v>
      </c>
      <c r="V500">
        <v>0</v>
      </c>
    </row>
    <row r="501" spans="1:22" x14ac:dyDescent="0.3">
      <c r="A501" s="1">
        <v>45627</v>
      </c>
      <c r="B501" t="s">
        <v>38</v>
      </c>
      <c r="C501" t="s">
        <v>23</v>
      </c>
      <c r="D501" t="s">
        <v>35</v>
      </c>
      <c r="E501" t="s">
        <v>33</v>
      </c>
      <c r="F501" t="s">
        <v>26</v>
      </c>
      <c r="G501">
        <v>724</v>
      </c>
      <c r="H501">
        <v>965</v>
      </c>
      <c r="I501">
        <v>2813.3293720000001</v>
      </c>
      <c r="J501" t="b">
        <v>1</v>
      </c>
      <c r="K501">
        <v>27</v>
      </c>
      <c r="L501" t="b">
        <v>1</v>
      </c>
      <c r="M501">
        <v>143494.27369999999</v>
      </c>
      <c r="N501">
        <v>697</v>
      </c>
      <c r="O501">
        <v>9561</v>
      </c>
      <c r="P501" t="s">
        <v>27</v>
      </c>
      <c r="Q501">
        <v>1.0387374461979915</v>
      </c>
      <c r="R501" t="s">
        <v>37</v>
      </c>
      <c r="S501">
        <v>3.885814049723757</v>
      </c>
      <c r="T501">
        <v>7.2900324233866748E-2</v>
      </c>
      <c r="U501" t="s">
        <v>34</v>
      </c>
      <c r="V501">
        <v>1</v>
      </c>
    </row>
    <row r="502" spans="1:22" x14ac:dyDescent="0.3">
      <c r="A502" s="1">
        <v>45626</v>
      </c>
      <c r="B502" t="s">
        <v>30</v>
      </c>
      <c r="C502" t="s">
        <v>44</v>
      </c>
      <c r="D502" t="s">
        <v>35</v>
      </c>
      <c r="E502" t="s">
        <v>33</v>
      </c>
      <c r="F502" t="s">
        <v>26</v>
      </c>
      <c r="G502">
        <v>237</v>
      </c>
      <c r="H502">
        <v>429</v>
      </c>
      <c r="I502">
        <v>5856.1718849999997</v>
      </c>
      <c r="J502" t="b">
        <v>1</v>
      </c>
      <c r="K502">
        <v>24</v>
      </c>
      <c r="L502" t="b">
        <v>0</v>
      </c>
      <c r="M502">
        <v>33337.286269999997</v>
      </c>
      <c r="N502">
        <v>1806</v>
      </c>
      <c r="O502">
        <v>8752</v>
      </c>
      <c r="P502" t="s">
        <v>36</v>
      </c>
      <c r="Q502">
        <v>0.13122923588039867</v>
      </c>
      <c r="R502" t="s">
        <v>37</v>
      </c>
      <c r="S502">
        <v>24.709586012658228</v>
      </c>
      <c r="T502">
        <v>0.20635283363802559</v>
      </c>
      <c r="U502" t="s">
        <v>34</v>
      </c>
      <c r="V502">
        <v>0</v>
      </c>
    </row>
    <row r="503" spans="1:22" x14ac:dyDescent="0.3">
      <c r="A503" s="1">
        <v>45625</v>
      </c>
      <c r="B503" t="s">
        <v>38</v>
      </c>
      <c r="C503" t="s">
        <v>23</v>
      </c>
      <c r="D503" t="s">
        <v>46</v>
      </c>
      <c r="E503" t="s">
        <v>25</v>
      </c>
      <c r="F503" t="s">
        <v>26</v>
      </c>
      <c r="G503">
        <v>180</v>
      </c>
      <c r="H503">
        <v>3183</v>
      </c>
      <c r="I503">
        <v>4550.4225370000004</v>
      </c>
      <c r="J503" t="b">
        <v>1</v>
      </c>
      <c r="K503">
        <v>21</v>
      </c>
      <c r="L503" t="b">
        <v>0</v>
      </c>
      <c r="M503">
        <v>35979.423799999997</v>
      </c>
      <c r="N503">
        <v>1962</v>
      </c>
      <c r="O503">
        <v>9741</v>
      </c>
      <c r="P503" t="s">
        <v>27</v>
      </c>
      <c r="Q503">
        <v>9.1743119266055051E-2</v>
      </c>
      <c r="R503" t="s">
        <v>37</v>
      </c>
      <c r="S503">
        <v>25.280125205555557</v>
      </c>
      <c r="T503">
        <v>0.20141669233138282</v>
      </c>
      <c r="U503" t="s">
        <v>34</v>
      </c>
      <c r="V503">
        <v>0</v>
      </c>
    </row>
    <row r="504" spans="1:22" x14ac:dyDescent="0.3">
      <c r="A504" s="1">
        <v>45624</v>
      </c>
      <c r="B504" t="s">
        <v>38</v>
      </c>
      <c r="C504" t="s">
        <v>31</v>
      </c>
      <c r="D504" t="s">
        <v>24</v>
      </c>
      <c r="E504" t="s">
        <v>25</v>
      </c>
      <c r="F504" t="s">
        <v>26</v>
      </c>
      <c r="G504">
        <v>722</v>
      </c>
      <c r="H504">
        <v>741</v>
      </c>
      <c r="I504">
        <v>7169.7342099999996</v>
      </c>
      <c r="J504" t="b">
        <v>1</v>
      </c>
      <c r="K504">
        <v>8</v>
      </c>
      <c r="L504" t="b">
        <v>1</v>
      </c>
      <c r="M504">
        <v>130032.5007</v>
      </c>
      <c r="N504">
        <v>429.5</v>
      </c>
      <c r="O504">
        <v>6804</v>
      </c>
      <c r="P504" t="s">
        <v>27</v>
      </c>
      <c r="Q504">
        <v>1.6810244470314319</v>
      </c>
      <c r="R504" t="s">
        <v>28</v>
      </c>
      <c r="S504">
        <v>9.930379792243766</v>
      </c>
      <c r="T504">
        <v>6.3124632569077008E-2</v>
      </c>
      <c r="U504" t="s">
        <v>34</v>
      </c>
      <c r="V504">
        <v>1</v>
      </c>
    </row>
    <row r="505" spans="1:22" x14ac:dyDescent="0.3">
      <c r="A505" s="1">
        <v>45623</v>
      </c>
      <c r="B505" t="s">
        <v>30</v>
      </c>
      <c r="C505" t="s">
        <v>44</v>
      </c>
      <c r="D505" t="s">
        <v>32</v>
      </c>
      <c r="E505" t="s">
        <v>33</v>
      </c>
      <c r="F505" t="s">
        <v>26</v>
      </c>
      <c r="G505">
        <v>996</v>
      </c>
      <c r="H505">
        <v>118</v>
      </c>
      <c r="I505">
        <v>4888.0361519999997</v>
      </c>
      <c r="J505" t="b">
        <v>1</v>
      </c>
      <c r="K505">
        <v>25</v>
      </c>
      <c r="L505" t="b">
        <v>0</v>
      </c>
      <c r="M505">
        <v>73098.188110000003</v>
      </c>
      <c r="N505">
        <v>1231</v>
      </c>
      <c r="O505">
        <v>8183</v>
      </c>
      <c r="P505" t="s">
        <v>36</v>
      </c>
      <c r="Q505">
        <v>0.80909829406986189</v>
      </c>
      <c r="R505" t="s">
        <v>37</v>
      </c>
      <c r="S505">
        <v>4.9076668192771082</v>
      </c>
      <c r="T505">
        <v>0.15043382622510082</v>
      </c>
      <c r="U505" t="s">
        <v>34</v>
      </c>
      <c r="V505">
        <v>0</v>
      </c>
    </row>
    <row r="506" spans="1:22" x14ac:dyDescent="0.3">
      <c r="A506" s="1">
        <v>45622</v>
      </c>
      <c r="B506" t="s">
        <v>42</v>
      </c>
      <c r="C506" t="s">
        <v>31</v>
      </c>
      <c r="D506" t="s">
        <v>32</v>
      </c>
      <c r="E506" t="s">
        <v>25</v>
      </c>
      <c r="F506" t="s">
        <v>26</v>
      </c>
      <c r="G506">
        <v>161</v>
      </c>
      <c r="H506">
        <v>2344</v>
      </c>
      <c r="I506">
        <v>9918.3729000000003</v>
      </c>
      <c r="J506" t="b">
        <v>1</v>
      </c>
      <c r="K506">
        <v>7</v>
      </c>
      <c r="L506" t="b">
        <v>0</v>
      </c>
      <c r="M506">
        <v>14127.73863</v>
      </c>
      <c r="N506">
        <v>2670.5</v>
      </c>
      <c r="O506">
        <v>6468</v>
      </c>
      <c r="P506" t="s">
        <v>36</v>
      </c>
      <c r="Q506">
        <v>6.0288335517693317E-2</v>
      </c>
      <c r="R506" t="s">
        <v>40</v>
      </c>
      <c r="S506">
        <v>61.604800621118017</v>
      </c>
      <c r="T506">
        <v>0.4128787878787879</v>
      </c>
      <c r="U506" t="s">
        <v>29</v>
      </c>
      <c r="V506">
        <v>0</v>
      </c>
    </row>
    <row r="507" spans="1:22" x14ac:dyDescent="0.3">
      <c r="A507" s="1">
        <v>45621</v>
      </c>
      <c r="B507" t="s">
        <v>38</v>
      </c>
      <c r="C507" t="s">
        <v>41</v>
      </c>
      <c r="D507" t="s">
        <v>24</v>
      </c>
      <c r="E507" t="s">
        <v>33</v>
      </c>
      <c r="F507" t="s">
        <v>26</v>
      </c>
      <c r="G507">
        <v>78</v>
      </c>
      <c r="H507">
        <v>2997</v>
      </c>
      <c r="I507">
        <v>8714.5134010000002</v>
      </c>
      <c r="J507" t="b">
        <v>1</v>
      </c>
      <c r="K507">
        <v>8</v>
      </c>
      <c r="L507" t="b">
        <v>0</v>
      </c>
      <c r="M507">
        <v>13450.793299999999</v>
      </c>
      <c r="N507">
        <v>3150</v>
      </c>
      <c r="O507">
        <v>5628</v>
      </c>
      <c r="P507" t="s">
        <v>36</v>
      </c>
      <c r="Q507">
        <v>2.4761904761904763E-2</v>
      </c>
      <c r="R507" t="s">
        <v>28</v>
      </c>
      <c r="S507">
        <v>111.72453078205129</v>
      </c>
      <c r="T507">
        <v>0.55970149253731338</v>
      </c>
      <c r="U507" t="s">
        <v>29</v>
      </c>
      <c r="V507">
        <v>0</v>
      </c>
    </row>
    <row r="508" spans="1:22" x14ac:dyDescent="0.3">
      <c r="A508" s="1">
        <v>45620</v>
      </c>
      <c r="B508" t="s">
        <v>42</v>
      </c>
      <c r="C508" t="s">
        <v>31</v>
      </c>
      <c r="D508" t="s">
        <v>46</v>
      </c>
      <c r="E508" t="s">
        <v>33</v>
      </c>
      <c r="F508" t="s">
        <v>26</v>
      </c>
      <c r="G508">
        <v>57</v>
      </c>
      <c r="H508">
        <v>3303</v>
      </c>
      <c r="I508">
        <v>3468.4320819999998</v>
      </c>
      <c r="J508" t="b">
        <v>1</v>
      </c>
      <c r="K508">
        <v>17</v>
      </c>
      <c r="L508" t="b">
        <v>0</v>
      </c>
      <c r="M508">
        <v>8801.4132460000001</v>
      </c>
      <c r="N508">
        <v>3856</v>
      </c>
      <c r="O508">
        <v>6060</v>
      </c>
      <c r="P508" t="s">
        <v>36</v>
      </c>
      <c r="Q508">
        <v>1.4782157676348547E-2</v>
      </c>
      <c r="R508" t="s">
        <v>37</v>
      </c>
      <c r="S508">
        <v>60.849685649122804</v>
      </c>
      <c r="T508">
        <v>0.63630363036303628</v>
      </c>
      <c r="U508" t="s">
        <v>29</v>
      </c>
      <c r="V508">
        <v>0</v>
      </c>
    </row>
    <row r="509" spans="1:22" x14ac:dyDescent="0.3">
      <c r="A509" s="1">
        <v>45619</v>
      </c>
      <c r="B509" t="s">
        <v>22</v>
      </c>
      <c r="C509" t="s">
        <v>41</v>
      </c>
      <c r="D509" t="s">
        <v>35</v>
      </c>
      <c r="E509" t="s">
        <v>33</v>
      </c>
      <c r="F509" t="s">
        <v>39</v>
      </c>
      <c r="G509">
        <v>375</v>
      </c>
      <c r="H509">
        <v>4409</v>
      </c>
      <c r="I509">
        <v>7025.9304709999997</v>
      </c>
      <c r="J509" t="b">
        <v>1</v>
      </c>
      <c r="K509">
        <v>8</v>
      </c>
      <c r="L509" t="b">
        <v>0</v>
      </c>
      <c r="M509">
        <v>30862.49163</v>
      </c>
      <c r="N509">
        <v>2687</v>
      </c>
      <c r="O509">
        <v>5787</v>
      </c>
      <c r="P509" t="s">
        <v>27</v>
      </c>
      <c r="Q509">
        <v>0.13956084852995906</v>
      </c>
      <c r="R509" t="s">
        <v>28</v>
      </c>
      <c r="S509">
        <v>18.735814589333334</v>
      </c>
      <c r="T509">
        <v>0.46431657162605838</v>
      </c>
      <c r="U509" t="s">
        <v>29</v>
      </c>
      <c r="V509">
        <v>0</v>
      </c>
    </row>
    <row r="510" spans="1:22" x14ac:dyDescent="0.3">
      <c r="A510" s="1">
        <v>45618</v>
      </c>
      <c r="B510" t="s">
        <v>38</v>
      </c>
      <c r="C510" t="s">
        <v>44</v>
      </c>
      <c r="D510" t="s">
        <v>46</v>
      </c>
      <c r="E510" t="s">
        <v>45</v>
      </c>
      <c r="F510" t="s">
        <v>26</v>
      </c>
      <c r="G510">
        <v>901</v>
      </c>
      <c r="H510">
        <v>965</v>
      </c>
      <c r="I510">
        <v>1394.281463</v>
      </c>
      <c r="J510" t="b">
        <v>1</v>
      </c>
      <c r="K510">
        <v>16</v>
      </c>
      <c r="L510" t="b">
        <v>0</v>
      </c>
      <c r="M510">
        <v>65523.453999999998</v>
      </c>
      <c r="N510">
        <v>2025</v>
      </c>
      <c r="O510">
        <v>8281</v>
      </c>
      <c r="P510" t="s">
        <v>36</v>
      </c>
      <c r="Q510">
        <v>0.44493827160493826</v>
      </c>
      <c r="R510" t="s">
        <v>37</v>
      </c>
      <c r="S510">
        <v>1.5474822008879023</v>
      </c>
      <c r="T510">
        <v>0.24453568409612367</v>
      </c>
      <c r="U510" t="s">
        <v>34</v>
      </c>
      <c r="V510">
        <v>0</v>
      </c>
    </row>
    <row r="511" spans="1:22" x14ac:dyDescent="0.3">
      <c r="A511" s="1">
        <v>45617</v>
      </c>
      <c r="B511" t="s">
        <v>38</v>
      </c>
      <c r="C511" t="s">
        <v>44</v>
      </c>
      <c r="D511" t="s">
        <v>32</v>
      </c>
      <c r="E511" t="s">
        <v>25</v>
      </c>
      <c r="F511" t="s">
        <v>43</v>
      </c>
      <c r="G511">
        <v>974</v>
      </c>
      <c r="H511">
        <v>3085</v>
      </c>
      <c r="I511">
        <v>13386.824490000001</v>
      </c>
      <c r="J511" t="b">
        <v>1</v>
      </c>
      <c r="K511">
        <v>26</v>
      </c>
      <c r="L511" t="b">
        <v>0</v>
      </c>
      <c r="M511">
        <v>55468.229979999996</v>
      </c>
      <c r="N511">
        <v>3898</v>
      </c>
      <c r="O511">
        <v>5544</v>
      </c>
      <c r="P511" t="s">
        <v>36</v>
      </c>
      <c r="Q511">
        <v>0.24987172909184197</v>
      </c>
      <c r="R511" t="s">
        <v>37</v>
      </c>
      <c r="S511">
        <v>13.744172987679672</v>
      </c>
      <c r="T511">
        <v>0.70310245310245312</v>
      </c>
      <c r="U511" t="s">
        <v>29</v>
      </c>
      <c r="V511">
        <v>0</v>
      </c>
    </row>
    <row r="512" spans="1:22" x14ac:dyDescent="0.3">
      <c r="A512" s="1">
        <v>45616</v>
      </c>
      <c r="B512" t="s">
        <v>38</v>
      </c>
      <c r="C512" t="s">
        <v>41</v>
      </c>
      <c r="D512" t="s">
        <v>32</v>
      </c>
      <c r="E512" t="s">
        <v>25</v>
      </c>
      <c r="F512" t="s">
        <v>26</v>
      </c>
      <c r="G512">
        <v>755</v>
      </c>
      <c r="H512">
        <v>4711</v>
      </c>
      <c r="I512">
        <v>11083.891030000001</v>
      </c>
      <c r="J512" t="b">
        <v>1</v>
      </c>
      <c r="K512">
        <v>1</v>
      </c>
      <c r="L512" t="b">
        <v>0</v>
      </c>
      <c r="M512">
        <v>116445.837</v>
      </c>
      <c r="N512">
        <v>2840.5</v>
      </c>
      <c r="O512">
        <v>8768</v>
      </c>
      <c r="P512" t="s">
        <v>27</v>
      </c>
      <c r="Q512">
        <v>0.26579827495159303</v>
      </c>
      <c r="R512" t="s">
        <v>40</v>
      </c>
      <c r="S512">
        <v>14.680650370860928</v>
      </c>
      <c r="T512">
        <v>0.32396213503649635</v>
      </c>
      <c r="U512" t="s">
        <v>34</v>
      </c>
      <c r="V512">
        <v>0</v>
      </c>
    </row>
    <row r="513" spans="1:22" x14ac:dyDescent="0.3">
      <c r="A513" s="1">
        <v>45615</v>
      </c>
      <c r="B513" t="s">
        <v>30</v>
      </c>
      <c r="C513" t="s">
        <v>31</v>
      </c>
      <c r="D513" t="s">
        <v>32</v>
      </c>
      <c r="E513" t="s">
        <v>45</v>
      </c>
      <c r="F513" t="s">
        <v>26</v>
      </c>
      <c r="G513">
        <v>898</v>
      </c>
      <c r="H513">
        <v>970</v>
      </c>
      <c r="I513">
        <v>729.8517124</v>
      </c>
      <c r="J513" t="b">
        <v>1</v>
      </c>
      <c r="K513">
        <v>4</v>
      </c>
      <c r="L513" t="b">
        <v>0</v>
      </c>
      <c r="M513">
        <v>95510.242270000002</v>
      </c>
      <c r="N513">
        <v>2455</v>
      </c>
      <c r="O513">
        <v>6829</v>
      </c>
      <c r="P513" t="s">
        <v>36</v>
      </c>
      <c r="Q513">
        <v>0.36578411405295314</v>
      </c>
      <c r="R513" t="s">
        <v>40</v>
      </c>
      <c r="S513">
        <v>0.81275246369710463</v>
      </c>
      <c r="T513">
        <v>0.35949626592473277</v>
      </c>
      <c r="U513" t="s">
        <v>34</v>
      </c>
      <c r="V513">
        <v>0</v>
      </c>
    </row>
    <row r="514" spans="1:22" x14ac:dyDescent="0.3">
      <c r="A514" s="1">
        <v>45614</v>
      </c>
      <c r="B514" t="s">
        <v>22</v>
      </c>
      <c r="C514" t="s">
        <v>23</v>
      </c>
      <c r="D514" t="s">
        <v>32</v>
      </c>
      <c r="E514" t="s">
        <v>45</v>
      </c>
      <c r="F514" t="s">
        <v>26</v>
      </c>
      <c r="G514">
        <v>178</v>
      </c>
      <c r="H514">
        <v>3940</v>
      </c>
      <c r="I514">
        <v>13886.02283</v>
      </c>
      <c r="J514" t="b">
        <v>1</v>
      </c>
      <c r="K514">
        <v>20</v>
      </c>
      <c r="L514" t="b">
        <v>0</v>
      </c>
      <c r="M514">
        <v>12362.549489999999</v>
      </c>
      <c r="N514">
        <v>2461</v>
      </c>
      <c r="O514">
        <v>5080</v>
      </c>
      <c r="P514" t="s">
        <v>27</v>
      </c>
      <c r="Q514">
        <v>7.2328321820398209E-2</v>
      </c>
      <c r="R514" t="s">
        <v>37</v>
      </c>
      <c r="S514">
        <v>78.011364213483148</v>
      </c>
      <c r="T514">
        <v>0.4844488188976378</v>
      </c>
      <c r="U514" t="s">
        <v>29</v>
      </c>
      <c r="V514">
        <v>0</v>
      </c>
    </row>
    <row r="515" spans="1:22" x14ac:dyDescent="0.3">
      <c r="A515" s="1">
        <v>45613</v>
      </c>
      <c r="B515" t="s">
        <v>38</v>
      </c>
      <c r="C515" t="s">
        <v>44</v>
      </c>
      <c r="D515" t="s">
        <v>46</v>
      </c>
      <c r="E515" t="s">
        <v>33</v>
      </c>
      <c r="F515" t="s">
        <v>26</v>
      </c>
      <c r="G515">
        <v>160</v>
      </c>
      <c r="H515">
        <v>982</v>
      </c>
      <c r="I515">
        <v>7655.4599719999997</v>
      </c>
      <c r="J515" t="b">
        <v>1</v>
      </c>
      <c r="K515">
        <v>26</v>
      </c>
      <c r="L515" t="b">
        <v>0</v>
      </c>
      <c r="M515">
        <v>18645.392930000002</v>
      </c>
      <c r="N515">
        <v>2444</v>
      </c>
      <c r="O515">
        <v>9425</v>
      </c>
      <c r="P515" t="s">
        <v>36</v>
      </c>
      <c r="Q515">
        <v>6.5466448445171854E-2</v>
      </c>
      <c r="R515" t="s">
        <v>37</v>
      </c>
      <c r="S515">
        <v>47.846624824999999</v>
      </c>
      <c r="T515">
        <v>0.25931034482758619</v>
      </c>
      <c r="U515" t="s">
        <v>34</v>
      </c>
      <c r="V515">
        <v>0</v>
      </c>
    </row>
    <row r="516" spans="1:22" x14ac:dyDescent="0.3">
      <c r="A516" s="1">
        <v>45612</v>
      </c>
      <c r="B516" t="s">
        <v>38</v>
      </c>
      <c r="C516" t="s">
        <v>44</v>
      </c>
      <c r="D516" t="s">
        <v>24</v>
      </c>
      <c r="E516" t="s">
        <v>33</v>
      </c>
      <c r="F516" t="s">
        <v>39</v>
      </c>
      <c r="G516">
        <v>486</v>
      </c>
      <c r="H516">
        <v>3906</v>
      </c>
      <c r="I516">
        <v>10151.93226</v>
      </c>
      <c r="J516" t="b">
        <v>1</v>
      </c>
      <c r="K516">
        <v>18</v>
      </c>
      <c r="L516" t="b">
        <v>0</v>
      </c>
      <c r="M516">
        <v>65947.937430000005</v>
      </c>
      <c r="N516">
        <v>3505.5</v>
      </c>
      <c r="O516">
        <v>9985</v>
      </c>
      <c r="P516" t="s">
        <v>27</v>
      </c>
      <c r="Q516">
        <v>0.1386392811296534</v>
      </c>
      <c r="R516" t="s">
        <v>37</v>
      </c>
      <c r="S516">
        <v>20.888749506172839</v>
      </c>
      <c r="T516">
        <v>0.35107661492238357</v>
      </c>
      <c r="U516" t="s">
        <v>34</v>
      </c>
      <c r="V516">
        <v>0</v>
      </c>
    </row>
    <row r="517" spans="1:22" x14ac:dyDescent="0.3">
      <c r="A517" s="1">
        <v>45611</v>
      </c>
      <c r="B517" t="s">
        <v>22</v>
      </c>
      <c r="C517" t="s">
        <v>41</v>
      </c>
      <c r="D517" t="s">
        <v>46</v>
      </c>
      <c r="E517" t="s">
        <v>33</v>
      </c>
      <c r="F517" t="s">
        <v>26</v>
      </c>
      <c r="G517">
        <v>107</v>
      </c>
      <c r="H517">
        <v>3105</v>
      </c>
      <c r="I517">
        <v>14936.476360000001</v>
      </c>
      <c r="J517" t="b">
        <v>1</v>
      </c>
      <c r="K517">
        <v>28</v>
      </c>
      <c r="L517" t="b">
        <v>0</v>
      </c>
      <c r="M517">
        <v>5169.0882659999997</v>
      </c>
      <c r="N517">
        <v>2083.5</v>
      </c>
      <c r="O517">
        <v>7563</v>
      </c>
      <c r="P517" t="s">
        <v>27</v>
      </c>
      <c r="Q517">
        <v>5.1355891528677707E-2</v>
      </c>
      <c r="R517" t="s">
        <v>37</v>
      </c>
      <c r="S517">
        <v>139.59323700934581</v>
      </c>
      <c r="T517">
        <v>0.27548591828639429</v>
      </c>
      <c r="U517" t="s">
        <v>34</v>
      </c>
      <c r="V517">
        <v>0</v>
      </c>
    </row>
    <row r="518" spans="1:22" x14ac:dyDescent="0.3">
      <c r="A518" s="1">
        <v>45610</v>
      </c>
      <c r="B518" t="s">
        <v>42</v>
      </c>
      <c r="C518" t="s">
        <v>41</v>
      </c>
      <c r="D518" t="s">
        <v>24</v>
      </c>
      <c r="E518" t="s">
        <v>45</v>
      </c>
      <c r="F518" t="s">
        <v>26</v>
      </c>
      <c r="G518">
        <v>944</v>
      </c>
      <c r="H518">
        <v>1062</v>
      </c>
      <c r="I518">
        <v>11311.61082</v>
      </c>
      <c r="J518" t="b">
        <v>1</v>
      </c>
      <c r="K518">
        <v>28</v>
      </c>
      <c r="L518" t="b">
        <v>0</v>
      </c>
      <c r="M518">
        <v>83924.157860000007</v>
      </c>
      <c r="N518">
        <v>1549</v>
      </c>
      <c r="O518">
        <v>5171</v>
      </c>
      <c r="P518" t="s">
        <v>36</v>
      </c>
      <c r="Q518">
        <v>0.60942543576500974</v>
      </c>
      <c r="R518" t="s">
        <v>37</v>
      </c>
      <c r="S518">
        <v>11.982638580508475</v>
      </c>
      <c r="T518">
        <v>0.29955521175788047</v>
      </c>
      <c r="U518" t="s">
        <v>34</v>
      </c>
      <c r="V518">
        <v>0</v>
      </c>
    </row>
    <row r="519" spans="1:22" x14ac:dyDescent="0.3">
      <c r="A519" s="1">
        <v>45609</v>
      </c>
      <c r="B519" t="s">
        <v>30</v>
      </c>
      <c r="C519" t="s">
        <v>41</v>
      </c>
      <c r="D519" t="s">
        <v>32</v>
      </c>
      <c r="E519" t="s">
        <v>25</v>
      </c>
      <c r="F519" t="s">
        <v>43</v>
      </c>
      <c r="G519">
        <v>242</v>
      </c>
      <c r="H519">
        <v>2036</v>
      </c>
      <c r="I519">
        <v>3441.661051</v>
      </c>
      <c r="J519" t="b">
        <v>1</v>
      </c>
      <c r="K519">
        <v>28</v>
      </c>
      <c r="L519" t="b">
        <v>0</v>
      </c>
      <c r="M519">
        <v>28965.28313</v>
      </c>
      <c r="N519">
        <v>3432.5</v>
      </c>
      <c r="O519">
        <v>5366</v>
      </c>
      <c r="P519" t="s">
        <v>36</v>
      </c>
      <c r="Q519">
        <v>7.0502549162418063E-2</v>
      </c>
      <c r="R519" t="s">
        <v>37</v>
      </c>
      <c r="S519">
        <v>14.221739880165289</v>
      </c>
      <c r="T519">
        <v>0.6396757361162877</v>
      </c>
      <c r="U519" t="s">
        <v>29</v>
      </c>
      <c r="V519">
        <v>0</v>
      </c>
    </row>
    <row r="520" spans="1:22" x14ac:dyDescent="0.3">
      <c r="A520" s="1">
        <v>45608</v>
      </c>
      <c r="B520" t="s">
        <v>22</v>
      </c>
      <c r="C520" t="s">
        <v>44</v>
      </c>
      <c r="D520" t="s">
        <v>35</v>
      </c>
      <c r="E520" t="s">
        <v>33</v>
      </c>
      <c r="F520" t="s">
        <v>26</v>
      </c>
      <c r="G520">
        <v>607</v>
      </c>
      <c r="H520">
        <v>4829</v>
      </c>
      <c r="I520">
        <v>10359.5898</v>
      </c>
      <c r="J520" t="b">
        <v>1</v>
      </c>
      <c r="K520">
        <v>23</v>
      </c>
      <c r="L520" t="b">
        <v>0</v>
      </c>
      <c r="M520">
        <v>33286.54896</v>
      </c>
      <c r="N520">
        <v>4084.5</v>
      </c>
      <c r="O520">
        <v>8205</v>
      </c>
      <c r="P520" t="s">
        <v>27</v>
      </c>
      <c r="Q520">
        <v>0.14861060105276044</v>
      </c>
      <c r="R520" t="s">
        <v>37</v>
      </c>
      <c r="S520">
        <v>17.066869522240527</v>
      </c>
      <c r="T520">
        <v>0.49780621572212064</v>
      </c>
      <c r="U520" t="s">
        <v>29</v>
      </c>
      <c r="V520">
        <v>0</v>
      </c>
    </row>
    <row r="521" spans="1:22" x14ac:dyDescent="0.3">
      <c r="A521" s="1">
        <v>45607</v>
      </c>
      <c r="B521" t="s">
        <v>42</v>
      </c>
      <c r="C521" t="s">
        <v>44</v>
      </c>
      <c r="D521" t="s">
        <v>35</v>
      </c>
      <c r="E521" t="s">
        <v>45</v>
      </c>
      <c r="F521" t="s">
        <v>26</v>
      </c>
      <c r="G521">
        <v>581</v>
      </c>
      <c r="H521">
        <v>3340</v>
      </c>
      <c r="I521">
        <v>7827.628189</v>
      </c>
      <c r="J521" t="b">
        <v>0</v>
      </c>
      <c r="K521">
        <v>20</v>
      </c>
      <c r="L521" t="b">
        <v>0</v>
      </c>
      <c r="M521">
        <v>42498.356690000001</v>
      </c>
      <c r="N521">
        <v>1992.5</v>
      </c>
      <c r="O521">
        <v>7889</v>
      </c>
      <c r="P521" t="s">
        <v>27</v>
      </c>
      <c r="Q521">
        <v>0.29159347553324971</v>
      </c>
      <c r="R521" t="s">
        <v>37</v>
      </c>
      <c r="S521">
        <v>13.47268190877797</v>
      </c>
      <c r="T521">
        <v>0.25256686525541894</v>
      </c>
      <c r="U521" t="s">
        <v>34</v>
      </c>
      <c r="V521">
        <v>0</v>
      </c>
    </row>
    <row r="522" spans="1:22" x14ac:dyDescent="0.3">
      <c r="A522" s="1">
        <v>45606</v>
      </c>
      <c r="B522" t="s">
        <v>38</v>
      </c>
      <c r="C522" t="s">
        <v>41</v>
      </c>
      <c r="D522" t="s">
        <v>35</v>
      </c>
      <c r="E522" t="s">
        <v>45</v>
      </c>
      <c r="F522" t="s">
        <v>39</v>
      </c>
      <c r="G522">
        <v>660</v>
      </c>
      <c r="H522">
        <v>645</v>
      </c>
      <c r="I522">
        <v>11009.41114</v>
      </c>
      <c r="J522" t="b">
        <v>1</v>
      </c>
      <c r="K522">
        <v>3</v>
      </c>
      <c r="L522" t="b">
        <v>1</v>
      </c>
      <c r="M522">
        <v>21803.770769999999</v>
      </c>
      <c r="N522">
        <v>2027</v>
      </c>
      <c r="O522">
        <v>8346</v>
      </c>
      <c r="P522" t="s">
        <v>36</v>
      </c>
      <c r="Q522">
        <v>0.32560434139121858</v>
      </c>
      <c r="R522" t="s">
        <v>40</v>
      </c>
      <c r="S522">
        <v>16.680925969696968</v>
      </c>
      <c r="T522">
        <v>0.24287083632878026</v>
      </c>
      <c r="U522" t="s">
        <v>34</v>
      </c>
      <c r="V522">
        <v>1</v>
      </c>
    </row>
    <row r="523" spans="1:22" x14ac:dyDescent="0.3">
      <c r="A523" s="1">
        <v>45605</v>
      </c>
      <c r="B523" t="s">
        <v>38</v>
      </c>
      <c r="C523" t="s">
        <v>23</v>
      </c>
      <c r="D523" t="s">
        <v>24</v>
      </c>
      <c r="E523" t="s">
        <v>45</v>
      </c>
      <c r="F523" t="s">
        <v>43</v>
      </c>
      <c r="G523">
        <v>577</v>
      </c>
      <c r="H523">
        <v>3409</v>
      </c>
      <c r="I523">
        <v>3014.24296</v>
      </c>
      <c r="J523" t="b">
        <v>1</v>
      </c>
      <c r="K523">
        <v>3</v>
      </c>
      <c r="L523" t="b">
        <v>0</v>
      </c>
      <c r="M523">
        <v>110242.6735</v>
      </c>
      <c r="N523">
        <v>2837.5</v>
      </c>
      <c r="O523">
        <v>5064</v>
      </c>
      <c r="P523" t="s">
        <v>27</v>
      </c>
      <c r="Q523">
        <v>0.20334801762114538</v>
      </c>
      <c r="R523" t="s">
        <v>40</v>
      </c>
      <c r="S523">
        <v>5.2239912651646447</v>
      </c>
      <c r="T523">
        <v>0.560327804107425</v>
      </c>
      <c r="U523" t="s">
        <v>29</v>
      </c>
      <c r="V523">
        <v>0</v>
      </c>
    </row>
    <row r="524" spans="1:22" x14ac:dyDescent="0.3">
      <c r="A524" s="1">
        <v>45604</v>
      </c>
      <c r="B524" t="s">
        <v>42</v>
      </c>
      <c r="C524" t="s">
        <v>44</v>
      </c>
      <c r="D524" t="s">
        <v>35</v>
      </c>
      <c r="E524" t="s">
        <v>25</v>
      </c>
      <c r="F524" t="s">
        <v>26</v>
      </c>
      <c r="G524">
        <v>779</v>
      </c>
      <c r="H524">
        <v>2266</v>
      </c>
      <c r="I524">
        <v>10253.342979999999</v>
      </c>
      <c r="J524" t="b">
        <v>1</v>
      </c>
      <c r="K524">
        <v>5</v>
      </c>
      <c r="L524" t="b">
        <v>0</v>
      </c>
      <c r="M524">
        <v>94509.813649999996</v>
      </c>
      <c r="N524">
        <v>1364.5</v>
      </c>
      <c r="O524">
        <v>7664</v>
      </c>
      <c r="P524" t="s">
        <v>27</v>
      </c>
      <c r="Q524">
        <v>0.57090509344082085</v>
      </c>
      <c r="R524" t="s">
        <v>40</v>
      </c>
      <c r="S524">
        <v>13.162186110397945</v>
      </c>
      <c r="T524">
        <v>0.17804018789144049</v>
      </c>
      <c r="U524" t="s">
        <v>34</v>
      </c>
      <c r="V524">
        <v>0</v>
      </c>
    </row>
    <row r="525" spans="1:22" x14ac:dyDescent="0.3">
      <c r="A525" s="1">
        <v>45603</v>
      </c>
      <c r="B525" t="s">
        <v>42</v>
      </c>
      <c r="C525" t="s">
        <v>41</v>
      </c>
      <c r="D525" t="s">
        <v>46</v>
      </c>
      <c r="E525" t="s">
        <v>25</v>
      </c>
      <c r="F525" t="s">
        <v>26</v>
      </c>
      <c r="G525">
        <v>103</v>
      </c>
      <c r="H525">
        <v>463</v>
      </c>
      <c r="I525">
        <v>3035.8170749999999</v>
      </c>
      <c r="J525" t="b">
        <v>1</v>
      </c>
      <c r="K525">
        <v>5</v>
      </c>
      <c r="L525" t="b">
        <v>0</v>
      </c>
      <c r="M525">
        <v>18096.988259999998</v>
      </c>
      <c r="N525">
        <v>2143</v>
      </c>
      <c r="O525">
        <v>9413</v>
      </c>
      <c r="P525" t="s">
        <v>36</v>
      </c>
      <c r="Q525">
        <v>4.806346243583761E-2</v>
      </c>
      <c r="R525" t="s">
        <v>40</v>
      </c>
      <c r="S525">
        <v>29.473952184466018</v>
      </c>
      <c r="T525">
        <v>0.22766386911717837</v>
      </c>
      <c r="U525" t="s">
        <v>34</v>
      </c>
      <c r="V525">
        <v>0</v>
      </c>
    </row>
    <row r="526" spans="1:22" x14ac:dyDescent="0.3">
      <c r="A526" s="1">
        <v>45602</v>
      </c>
      <c r="B526" t="s">
        <v>22</v>
      </c>
      <c r="C526" t="s">
        <v>23</v>
      </c>
      <c r="D526" t="s">
        <v>32</v>
      </c>
      <c r="E526" t="s">
        <v>33</v>
      </c>
      <c r="F526" t="s">
        <v>26</v>
      </c>
      <c r="G526">
        <v>974</v>
      </c>
      <c r="H526">
        <v>3823</v>
      </c>
      <c r="I526">
        <v>14906.88351</v>
      </c>
      <c r="J526" t="b">
        <v>1</v>
      </c>
      <c r="K526">
        <v>5</v>
      </c>
      <c r="L526" t="b">
        <v>0</v>
      </c>
      <c r="M526">
        <v>50469.014000000003</v>
      </c>
      <c r="N526">
        <v>3374</v>
      </c>
      <c r="O526">
        <v>7880</v>
      </c>
      <c r="P526" t="s">
        <v>27</v>
      </c>
      <c r="Q526">
        <v>0.28867812685240068</v>
      </c>
      <c r="R526" t="s">
        <v>40</v>
      </c>
      <c r="S526">
        <v>15.304808531827515</v>
      </c>
      <c r="T526">
        <v>0.42817258883248732</v>
      </c>
      <c r="U526" t="s">
        <v>29</v>
      </c>
      <c r="V526">
        <v>0</v>
      </c>
    </row>
    <row r="527" spans="1:22" x14ac:dyDescent="0.3">
      <c r="A527" s="1">
        <v>45601</v>
      </c>
      <c r="B527" t="s">
        <v>42</v>
      </c>
      <c r="C527" t="s">
        <v>44</v>
      </c>
      <c r="D527" t="s">
        <v>35</v>
      </c>
      <c r="E527" t="s">
        <v>45</v>
      </c>
      <c r="F527" t="s">
        <v>43</v>
      </c>
      <c r="G527">
        <v>393</v>
      </c>
      <c r="H527">
        <v>2925</v>
      </c>
      <c r="I527">
        <v>6352.5754809999999</v>
      </c>
      <c r="J527" t="b">
        <v>1</v>
      </c>
      <c r="K527">
        <v>3</v>
      </c>
      <c r="L527" t="b">
        <v>0</v>
      </c>
      <c r="M527">
        <v>10828.993409999999</v>
      </c>
      <c r="N527">
        <v>3311</v>
      </c>
      <c r="O527">
        <v>6972</v>
      </c>
      <c r="P527" t="s">
        <v>36</v>
      </c>
      <c r="Q527">
        <v>0.11869525823014195</v>
      </c>
      <c r="R527" t="s">
        <v>40</v>
      </c>
      <c r="S527">
        <v>16.16431420101781</v>
      </c>
      <c r="T527">
        <v>0.47489959839357432</v>
      </c>
      <c r="U527" t="s">
        <v>29</v>
      </c>
      <c r="V527">
        <v>0</v>
      </c>
    </row>
    <row r="528" spans="1:22" x14ac:dyDescent="0.3">
      <c r="A528" s="1">
        <v>45600</v>
      </c>
      <c r="B528" t="s">
        <v>38</v>
      </c>
      <c r="C528" t="s">
        <v>44</v>
      </c>
      <c r="D528" t="s">
        <v>35</v>
      </c>
      <c r="E528" t="s">
        <v>25</v>
      </c>
      <c r="F528" t="s">
        <v>43</v>
      </c>
      <c r="G528">
        <v>615</v>
      </c>
      <c r="H528">
        <v>3697</v>
      </c>
      <c r="I528">
        <v>898.32315640000002</v>
      </c>
      <c r="J528" t="b">
        <v>1</v>
      </c>
      <c r="K528">
        <v>5</v>
      </c>
      <c r="L528" t="b">
        <v>0</v>
      </c>
      <c r="M528">
        <v>75159.994330000001</v>
      </c>
      <c r="N528">
        <v>4261.5</v>
      </c>
      <c r="O528">
        <v>8854</v>
      </c>
      <c r="P528" t="s">
        <v>36</v>
      </c>
      <c r="Q528">
        <v>0.14431538190777896</v>
      </c>
      <c r="R528" t="s">
        <v>40</v>
      </c>
      <c r="S528">
        <v>1.460688059186992</v>
      </c>
      <c r="T528">
        <v>0.48130788344251185</v>
      </c>
      <c r="U528" t="s">
        <v>29</v>
      </c>
      <c r="V528">
        <v>0</v>
      </c>
    </row>
    <row r="529" spans="1:22" x14ac:dyDescent="0.3">
      <c r="A529" s="1">
        <v>45599</v>
      </c>
      <c r="B529" t="s">
        <v>38</v>
      </c>
      <c r="C529" t="s">
        <v>31</v>
      </c>
      <c r="D529" t="s">
        <v>35</v>
      </c>
      <c r="E529" t="s">
        <v>33</v>
      </c>
      <c r="F529" t="s">
        <v>26</v>
      </c>
      <c r="G529">
        <v>984</v>
      </c>
      <c r="H529">
        <v>4826</v>
      </c>
      <c r="I529">
        <v>1881.109543</v>
      </c>
      <c r="J529" t="b">
        <v>1</v>
      </c>
      <c r="K529">
        <v>15</v>
      </c>
      <c r="L529" t="b">
        <v>0</v>
      </c>
      <c r="M529">
        <v>164527.97099999999</v>
      </c>
      <c r="N529">
        <v>2736</v>
      </c>
      <c r="O529">
        <v>5103</v>
      </c>
      <c r="P529" t="s">
        <v>27</v>
      </c>
      <c r="Q529">
        <v>0.35964912280701755</v>
      </c>
      <c r="R529" t="s">
        <v>37</v>
      </c>
      <c r="S529">
        <v>1.9116966900406505</v>
      </c>
      <c r="T529">
        <v>0.53615520282186946</v>
      </c>
      <c r="U529" t="s">
        <v>29</v>
      </c>
      <c r="V529">
        <v>0</v>
      </c>
    </row>
    <row r="530" spans="1:22" x14ac:dyDescent="0.3">
      <c r="A530" s="1">
        <v>45598</v>
      </c>
      <c r="B530" t="s">
        <v>38</v>
      </c>
      <c r="C530" t="s">
        <v>41</v>
      </c>
      <c r="D530" t="s">
        <v>46</v>
      </c>
      <c r="E530" t="s">
        <v>25</v>
      </c>
      <c r="F530" t="s">
        <v>26</v>
      </c>
      <c r="G530">
        <v>636</v>
      </c>
      <c r="H530">
        <v>646</v>
      </c>
      <c r="I530">
        <v>11469.81792</v>
      </c>
      <c r="J530" t="b">
        <v>1</v>
      </c>
      <c r="K530">
        <v>22</v>
      </c>
      <c r="L530" t="b">
        <v>0</v>
      </c>
      <c r="M530">
        <v>57985.965609999999</v>
      </c>
      <c r="N530">
        <v>1843</v>
      </c>
      <c r="O530">
        <v>7522</v>
      </c>
      <c r="P530" t="s">
        <v>36</v>
      </c>
      <c r="Q530">
        <v>0.34508952794357028</v>
      </c>
      <c r="R530" t="s">
        <v>37</v>
      </c>
      <c r="S530">
        <v>18.034304905660377</v>
      </c>
      <c r="T530">
        <v>0.24501462377027386</v>
      </c>
      <c r="U530" t="s">
        <v>34</v>
      </c>
      <c r="V530">
        <v>0</v>
      </c>
    </row>
    <row r="531" spans="1:22" x14ac:dyDescent="0.3">
      <c r="A531" s="1">
        <v>45597</v>
      </c>
      <c r="B531" t="s">
        <v>22</v>
      </c>
      <c r="C531" t="s">
        <v>31</v>
      </c>
      <c r="D531" t="s">
        <v>24</v>
      </c>
      <c r="E531" t="s">
        <v>33</v>
      </c>
      <c r="F531" t="s">
        <v>43</v>
      </c>
      <c r="G531">
        <v>657</v>
      </c>
      <c r="H531">
        <v>3040</v>
      </c>
      <c r="I531">
        <v>2211.0873860000002</v>
      </c>
      <c r="J531" t="b">
        <v>1</v>
      </c>
      <c r="K531">
        <v>13</v>
      </c>
      <c r="L531" t="b">
        <v>0</v>
      </c>
      <c r="M531">
        <v>89418.860780000003</v>
      </c>
      <c r="N531">
        <v>1805.5</v>
      </c>
      <c r="O531">
        <v>7421</v>
      </c>
      <c r="P531" t="s">
        <v>27</v>
      </c>
      <c r="Q531">
        <v>0.36388811963445028</v>
      </c>
      <c r="R531" t="s">
        <v>28</v>
      </c>
      <c r="S531">
        <v>3.3654298112633185</v>
      </c>
      <c r="T531">
        <v>0.24329605174504784</v>
      </c>
      <c r="U531" t="s">
        <v>34</v>
      </c>
      <c r="V531">
        <v>0</v>
      </c>
    </row>
    <row r="532" spans="1:22" x14ac:dyDescent="0.3">
      <c r="A532" s="1">
        <v>45596</v>
      </c>
      <c r="B532" t="s">
        <v>30</v>
      </c>
      <c r="C532" t="s">
        <v>44</v>
      </c>
      <c r="D532" t="s">
        <v>46</v>
      </c>
      <c r="E532" t="s">
        <v>45</v>
      </c>
      <c r="F532" t="s">
        <v>26</v>
      </c>
      <c r="G532">
        <v>904</v>
      </c>
      <c r="H532">
        <v>571</v>
      </c>
      <c r="I532">
        <v>11235.48531</v>
      </c>
      <c r="J532" t="b">
        <v>1</v>
      </c>
      <c r="K532">
        <v>2</v>
      </c>
      <c r="L532" t="b">
        <v>0</v>
      </c>
      <c r="M532">
        <v>83070.637910000005</v>
      </c>
      <c r="N532">
        <v>1156</v>
      </c>
      <c r="O532">
        <v>5564</v>
      </c>
      <c r="P532" t="s">
        <v>36</v>
      </c>
      <c r="Q532">
        <v>0.7820069204152249</v>
      </c>
      <c r="R532" t="s">
        <v>40</v>
      </c>
      <c r="S532">
        <v>12.428634192477876</v>
      </c>
      <c r="T532">
        <v>0.20776419841840402</v>
      </c>
      <c r="U532" t="s">
        <v>34</v>
      </c>
      <c r="V532">
        <v>0</v>
      </c>
    </row>
    <row r="533" spans="1:22" x14ac:dyDescent="0.3">
      <c r="A533" s="1">
        <v>45595</v>
      </c>
      <c r="B533" t="s">
        <v>22</v>
      </c>
      <c r="C533" t="s">
        <v>41</v>
      </c>
      <c r="D533" t="s">
        <v>32</v>
      </c>
      <c r="E533" t="s">
        <v>25</v>
      </c>
      <c r="F533" t="s">
        <v>26</v>
      </c>
      <c r="G533">
        <v>989</v>
      </c>
      <c r="H533">
        <v>1741</v>
      </c>
      <c r="I533">
        <v>14725.915559999999</v>
      </c>
      <c r="J533" t="b">
        <v>1</v>
      </c>
      <c r="K533">
        <v>24</v>
      </c>
      <c r="L533" t="b">
        <v>0</v>
      </c>
      <c r="M533">
        <v>128137.965</v>
      </c>
      <c r="N533">
        <v>3179</v>
      </c>
      <c r="O533">
        <v>8928</v>
      </c>
      <c r="P533" t="s">
        <v>36</v>
      </c>
      <c r="Q533">
        <v>0.31110412079270211</v>
      </c>
      <c r="R533" t="s">
        <v>37</v>
      </c>
      <c r="S533">
        <v>14.889702285136501</v>
      </c>
      <c r="T533">
        <v>0.35607078853046598</v>
      </c>
      <c r="U533" t="s">
        <v>34</v>
      </c>
      <c r="V533">
        <v>0</v>
      </c>
    </row>
    <row r="534" spans="1:22" x14ac:dyDescent="0.3">
      <c r="A534" s="1">
        <v>45594</v>
      </c>
      <c r="B534" t="s">
        <v>42</v>
      </c>
      <c r="C534" t="s">
        <v>41</v>
      </c>
      <c r="D534" t="s">
        <v>24</v>
      </c>
      <c r="E534" t="s">
        <v>45</v>
      </c>
      <c r="F534" t="s">
        <v>43</v>
      </c>
      <c r="G534">
        <v>773</v>
      </c>
      <c r="H534">
        <v>4617</v>
      </c>
      <c r="I534">
        <v>7334.1660149999998</v>
      </c>
      <c r="J534" t="b">
        <v>1</v>
      </c>
      <c r="K534">
        <v>24</v>
      </c>
      <c r="L534" t="b">
        <v>0</v>
      </c>
      <c r="M534">
        <v>150321.32519999999</v>
      </c>
      <c r="N534">
        <v>4027.5</v>
      </c>
      <c r="O534">
        <v>8360</v>
      </c>
      <c r="P534" t="s">
        <v>27</v>
      </c>
      <c r="Q534">
        <v>0.19193047796399751</v>
      </c>
      <c r="R534" t="s">
        <v>37</v>
      </c>
      <c r="S534">
        <v>9.4879249870633888</v>
      </c>
      <c r="T534">
        <v>0.48175837320574161</v>
      </c>
      <c r="U534" t="s">
        <v>29</v>
      </c>
      <c r="V534">
        <v>0</v>
      </c>
    </row>
    <row r="535" spans="1:22" x14ac:dyDescent="0.3">
      <c r="A535" s="1">
        <v>45593</v>
      </c>
      <c r="B535" t="s">
        <v>38</v>
      </c>
      <c r="C535" t="s">
        <v>44</v>
      </c>
      <c r="D535" t="s">
        <v>24</v>
      </c>
      <c r="E535" t="s">
        <v>45</v>
      </c>
      <c r="F535" t="s">
        <v>43</v>
      </c>
      <c r="G535">
        <v>690</v>
      </c>
      <c r="H535">
        <v>3438</v>
      </c>
      <c r="I535">
        <v>8226.2834180000009</v>
      </c>
      <c r="J535" t="b">
        <v>1</v>
      </c>
      <c r="K535">
        <v>18</v>
      </c>
      <c r="L535" t="b">
        <v>0</v>
      </c>
      <c r="M535">
        <v>49420.029569999999</v>
      </c>
      <c r="N535">
        <v>2213</v>
      </c>
      <c r="O535">
        <v>5941</v>
      </c>
      <c r="P535" t="s">
        <v>27</v>
      </c>
      <c r="Q535">
        <v>0.31179394487121553</v>
      </c>
      <c r="R535" t="s">
        <v>37</v>
      </c>
      <c r="S535">
        <v>11.922149881159422</v>
      </c>
      <c r="T535">
        <v>0.3724962127587948</v>
      </c>
      <c r="U535" t="s">
        <v>34</v>
      </c>
      <c r="V535">
        <v>0</v>
      </c>
    </row>
    <row r="536" spans="1:22" x14ac:dyDescent="0.3">
      <c r="A536" s="1">
        <v>45592</v>
      </c>
      <c r="B536" t="s">
        <v>22</v>
      </c>
      <c r="C536" t="s">
        <v>44</v>
      </c>
      <c r="D536" t="s">
        <v>46</v>
      </c>
      <c r="E536" t="s">
        <v>33</v>
      </c>
      <c r="F536" t="s">
        <v>43</v>
      </c>
      <c r="G536">
        <v>296</v>
      </c>
      <c r="H536">
        <v>988</v>
      </c>
      <c r="I536">
        <v>12817.23423</v>
      </c>
      <c r="J536" t="b">
        <v>0</v>
      </c>
      <c r="K536">
        <v>18</v>
      </c>
      <c r="L536" t="b">
        <v>0</v>
      </c>
      <c r="M536">
        <v>39282.841249999998</v>
      </c>
      <c r="N536">
        <v>1130</v>
      </c>
      <c r="O536">
        <v>5212</v>
      </c>
      <c r="P536" t="s">
        <v>36</v>
      </c>
      <c r="Q536">
        <v>0.26194690265486725</v>
      </c>
      <c r="R536" t="s">
        <v>37</v>
      </c>
      <c r="S536">
        <v>43.301466993243245</v>
      </c>
      <c r="T536">
        <v>0.2168073676132003</v>
      </c>
      <c r="U536" t="s">
        <v>34</v>
      </c>
      <c r="V536">
        <v>0</v>
      </c>
    </row>
    <row r="537" spans="1:22" x14ac:dyDescent="0.3">
      <c r="A537" s="1">
        <v>45591</v>
      </c>
      <c r="B537" t="s">
        <v>22</v>
      </c>
      <c r="C537" t="s">
        <v>23</v>
      </c>
      <c r="D537" t="s">
        <v>46</v>
      </c>
      <c r="E537" t="s">
        <v>33</v>
      </c>
      <c r="F537" t="s">
        <v>26</v>
      </c>
      <c r="G537">
        <v>121</v>
      </c>
      <c r="H537">
        <v>1272</v>
      </c>
      <c r="I537">
        <v>2124.1698390000001</v>
      </c>
      <c r="J537" t="b">
        <v>1</v>
      </c>
      <c r="K537">
        <v>17</v>
      </c>
      <c r="L537" t="b">
        <v>0</v>
      </c>
      <c r="M537">
        <v>11640.05611</v>
      </c>
      <c r="N537">
        <v>2936</v>
      </c>
      <c r="O537">
        <v>5246</v>
      </c>
      <c r="P537" t="s">
        <v>36</v>
      </c>
      <c r="Q537">
        <v>4.1212534059945502E-2</v>
      </c>
      <c r="R537" t="s">
        <v>37</v>
      </c>
      <c r="S537">
        <v>17.555122636363638</v>
      </c>
      <c r="T537">
        <v>0.55966450629050701</v>
      </c>
      <c r="U537" t="s">
        <v>29</v>
      </c>
      <c r="V537">
        <v>0</v>
      </c>
    </row>
    <row r="538" spans="1:22" x14ac:dyDescent="0.3">
      <c r="A538" s="1">
        <v>45590</v>
      </c>
      <c r="B538" t="s">
        <v>38</v>
      </c>
      <c r="C538" t="s">
        <v>44</v>
      </c>
      <c r="D538" t="s">
        <v>46</v>
      </c>
      <c r="E538" t="s">
        <v>45</v>
      </c>
      <c r="F538" t="s">
        <v>43</v>
      </c>
      <c r="G538">
        <v>650</v>
      </c>
      <c r="H538">
        <v>4600</v>
      </c>
      <c r="I538">
        <v>10641.078740000001</v>
      </c>
      <c r="J538" t="b">
        <v>0</v>
      </c>
      <c r="K538">
        <v>3</v>
      </c>
      <c r="L538" t="b">
        <v>0</v>
      </c>
      <c r="M538">
        <v>59795.568579999999</v>
      </c>
      <c r="N538">
        <v>3055</v>
      </c>
      <c r="O538">
        <v>8573</v>
      </c>
      <c r="P538" t="s">
        <v>27</v>
      </c>
      <c r="Q538">
        <v>0.21276595744680851</v>
      </c>
      <c r="R538" t="s">
        <v>40</v>
      </c>
      <c r="S538">
        <v>16.370890369230771</v>
      </c>
      <c r="T538">
        <v>0.35635133558847543</v>
      </c>
      <c r="U538" t="s">
        <v>34</v>
      </c>
      <c r="V538">
        <v>0</v>
      </c>
    </row>
    <row r="539" spans="1:22" x14ac:dyDescent="0.3">
      <c r="A539" s="1">
        <v>45589</v>
      </c>
      <c r="B539" t="s">
        <v>22</v>
      </c>
      <c r="C539" t="s">
        <v>31</v>
      </c>
      <c r="D539" t="s">
        <v>32</v>
      </c>
      <c r="E539" t="s">
        <v>45</v>
      </c>
      <c r="F539" t="s">
        <v>26</v>
      </c>
      <c r="G539">
        <v>780</v>
      </c>
      <c r="H539">
        <v>1510</v>
      </c>
      <c r="I539">
        <v>9756.0759440000002</v>
      </c>
      <c r="J539" t="b">
        <v>1</v>
      </c>
      <c r="K539">
        <v>18</v>
      </c>
      <c r="L539" t="b">
        <v>0</v>
      </c>
      <c r="M539">
        <v>62358.70865</v>
      </c>
      <c r="N539">
        <v>2476</v>
      </c>
      <c r="O539">
        <v>5355</v>
      </c>
      <c r="P539" t="s">
        <v>36</v>
      </c>
      <c r="Q539">
        <v>0.3150242326332795</v>
      </c>
      <c r="R539" t="s">
        <v>37</v>
      </c>
      <c r="S539">
        <v>12.507789671794873</v>
      </c>
      <c r="T539">
        <v>0.46237161531279181</v>
      </c>
      <c r="U539" t="s">
        <v>29</v>
      </c>
      <c r="V539">
        <v>0</v>
      </c>
    </row>
    <row r="540" spans="1:22" x14ac:dyDescent="0.3">
      <c r="A540" s="1">
        <v>45588</v>
      </c>
      <c r="B540" t="s">
        <v>30</v>
      </c>
      <c r="C540" t="s">
        <v>44</v>
      </c>
      <c r="D540" t="s">
        <v>46</v>
      </c>
      <c r="E540" t="s">
        <v>25</v>
      </c>
      <c r="F540" t="s">
        <v>26</v>
      </c>
      <c r="G540">
        <v>557</v>
      </c>
      <c r="H540">
        <v>3442</v>
      </c>
      <c r="I540">
        <v>9498.0742819999996</v>
      </c>
      <c r="J540" t="b">
        <v>0</v>
      </c>
      <c r="K540">
        <v>22</v>
      </c>
      <c r="L540" t="b">
        <v>0</v>
      </c>
      <c r="M540">
        <v>96110.412200000006</v>
      </c>
      <c r="N540">
        <v>2287</v>
      </c>
      <c r="O540">
        <v>9288</v>
      </c>
      <c r="P540" t="s">
        <v>27</v>
      </c>
      <c r="Q540">
        <v>0.2435505028421513</v>
      </c>
      <c r="R540" t="s">
        <v>37</v>
      </c>
      <c r="S540">
        <v>17.05219799281867</v>
      </c>
      <c r="T540">
        <v>0.24623169681309215</v>
      </c>
      <c r="U540" t="s">
        <v>34</v>
      </c>
      <c r="V540">
        <v>0</v>
      </c>
    </row>
    <row r="541" spans="1:22" x14ac:dyDescent="0.3">
      <c r="A541" s="1">
        <v>45587</v>
      </c>
      <c r="B541" t="s">
        <v>42</v>
      </c>
      <c r="C541" t="s">
        <v>44</v>
      </c>
      <c r="D541" t="s">
        <v>32</v>
      </c>
      <c r="E541" t="s">
        <v>25</v>
      </c>
      <c r="F541" t="s">
        <v>26</v>
      </c>
      <c r="G541">
        <v>886</v>
      </c>
      <c r="H541">
        <v>1132</v>
      </c>
      <c r="I541">
        <v>5045.4217179999996</v>
      </c>
      <c r="J541" t="b">
        <v>1</v>
      </c>
      <c r="K541">
        <v>4</v>
      </c>
      <c r="L541" t="b">
        <v>0</v>
      </c>
      <c r="M541">
        <v>169062.9068</v>
      </c>
      <c r="N541">
        <v>2298</v>
      </c>
      <c r="O541">
        <v>7028</v>
      </c>
      <c r="P541" t="s">
        <v>36</v>
      </c>
      <c r="Q541">
        <v>0.38555265448215842</v>
      </c>
      <c r="R541" t="s">
        <v>40</v>
      </c>
      <c r="S541">
        <v>5.6946069051918728</v>
      </c>
      <c r="T541">
        <v>0.32697780307342061</v>
      </c>
      <c r="U541" t="s">
        <v>34</v>
      </c>
      <c r="V541">
        <v>0</v>
      </c>
    </row>
    <row r="542" spans="1:22" x14ac:dyDescent="0.3">
      <c r="A542" s="1">
        <v>45586</v>
      </c>
      <c r="B542" t="s">
        <v>38</v>
      </c>
      <c r="C542" t="s">
        <v>41</v>
      </c>
      <c r="D542" t="s">
        <v>32</v>
      </c>
      <c r="E542" t="s">
        <v>33</v>
      </c>
      <c r="F542" t="s">
        <v>26</v>
      </c>
      <c r="G542">
        <v>990</v>
      </c>
      <c r="H542">
        <v>3464</v>
      </c>
      <c r="I542">
        <v>3327.4526940000001</v>
      </c>
      <c r="J542" t="b">
        <v>1</v>
      </c>
      <c r="K542">
        <v>5</v>
      </c>
      <c r="L542" t="b">
        <v>0</v>
      </c>
      <c r="M542">
        <v>103649.86</v>
      </c>
      <c r="N542">
        <v>2640</v>
      </c>
      <c r="O542">
        <v>8317</v>
      </c>
      <c r="P542" t="s">
        <v>27</v>
      </c>
      <c r="Q542">
        <v>0.375</v>
      </c>
      <c r="R542" t="s">
        <v>40</v>
      </c>
      <c r="S542">
        <v>3.3610633272727273</v>
      </c>
      <c r="T542">
        <v>0.3174221474089215</v>
      </c>
      <c r="U542" t="s">
        <v>34</v>
      </c>
      <c r="V542">
        <v>0</v>
      </c>
    </row>
    <row r="543" spans="1:22" x14ac:dyDescent="0.3">
      <c r="A543" s="1">
        <v>45585</v>
      </c>
      <c r="B543" t="s">
        <v>42</v>
      </c>
      <c r="C543" t="s">
        <v>31</v>
      </c>
      <c r="D543" t="s">
        <v>35</v>
      </c>
      <c r="E543" t="s">
        <v>25</v>
      </c>
      <c r="F543" t="s">
        <v>26</v>
      </c>
      <c r="G543">
        <v>839</v>
      </c>
      <c r="H543">
        <v>1816</v>
      </c>
      <c r="I543">
        <v>13262.243630000001</v>
      </c>
      <c r="J543" t="b">
        <v>1</v>
      </c>
      <c r="K543">
        <v>27</v>
      </c>
      <c r="L543" t="b">
        <v>0</v>
      </c>
      <c r="M543">
        <v>139006.954</v>
      </c>
      <c r="N543">
        <v>1225</v>
      </c>
      <c r="O543">
        <v>6041</v>
      </c>
      <c r="P543" t="s">
        <v>27</v>
      </c>
      <c r="Q543">
        <v>0.68489795918367347</v>
      </c>
      <c r="R543" t="s">
        <v>37</v>
      </c>
      <c r="S543">
        <v>15.807203373063171</v>
      </c>
      <c r="T543">
        <v>0.20278099652375434</v>
      </c>
      <c r="U543" t="s">
        <v>34</v>
      </c>
      <c r="V543">
        <v>0</v>
      </c>
    </row>
    <row r="544" spans="1:22" x14ac:dyDescent="0.3">
      <c r="A544" s="1">
        <v>45584</v>
      </c>
      <c r="B544" t="s">
        <v>30</v>
      </c>
      <c r="C544" t="s">
        <v>41</v>
      </c>
      <c r="D544" t="s">
        <v>32</v>
      </c>
      <c r="E544" t="s">
        <v>45</v>
      </c>
      <c r="F544" t="s">
        <v>26</v>
      </c>
      <c r="G544">
        <v>656</v>
      </c>
      <c r="H544">
        <v>634</v>
      </c>
      <c r="I544">
        <v>3410.3362219999999</v>
      </c>
      <c r="J544" t="b">
        <v>1</v>
      </c>
      <c r="K544">
        <v>21</v>
      </c>
      <c r="L544" t="b">
        <v>0</v>
      </c>
      <c r="M544">
        <v>71822.345960000006</v>
      </c>
      <c r="N544">
        <v>2603.5</v>
      </c>
      <c r="O544">
        <v>9122</v>
      </c>
      <c r="P544" t="s">
        <v>36</v>
      </c>
      <c r="Q544">
        <v>0.25196850393700787</v>
      </c>
      <c r="R544" t="s">
        <v>37</v>
      </c>
      <c r="S544">
        <v>5.1986832652439023</v>
      </c>
      <c r="T544">
        <v>0.28540890155667614</v>
      </c>
      <c r="U544" t="s">
        <v>34</v>
      </c>
      <c r="V544">
        <v>0</v>
      </c>
    </row>
    <row r="545" spans="1:22" x14ac:dyDescent="0.3">
      <c r="A545" s="1">
        <v>45583</v>
      </c>
      <c r="B545" t="s">
        <v>30</v>
      </c>
      <c r="C545" t="s">
        <v>41</v>
      </c>
      <c r="D545" t="s">
        <v>35</v>
      </c>
      <c r="E545" t="s">
        <v>25</v>
      </c>
      <c r="F545" t="s">
        <v>26</v>
      </c>
      <c r="G545">
        <v>458</v>
      </c>
      <c r="H545">
        <v>4573</v>
      </c>
      <c r="I545">
        <v>10171.002699999999</v>
      </c>
      <c r="J545" t="b">
        <v>1</v>
      </c>
      <c r="K545">
        <v>29</v>
      </c>
      <c r="L545" t="b">
        <v>0</v>
      </c>
      <c r="M545">
        <v>29439.629949999999</v>
      </c>
      <c r="N545">
        <v>3041.5</v>
      </c>
      <c r="O545">
        <v>6418</v>
      </c>
      <c r="P545" t="s">
        <v>27</v>
      </c>
      <c r="Q545">
        <v>0.15058359362156831</v>
      </c>
      <c r="R545" t="s">
        <v>37</v>
      </c>
      <c r="S545">
        <v>22.207429475982529</v>
      </c>
      <c r="T545">
        <v>0.47390152695543786</v>
      </c>
      <c r="U545" t="s">
        <v>29</v>
      </c>
      <c r="V545">
        <v>0</v>
      </c>
    </row>
    <row r="546" spans="1:22" x14ac:dyDescent="0.3">
      <c r="A546" s="1">
        <v>45582</v>
      </c>
      <c r="B546" t="s">
        <v>22</v>
      </c>
      <c r="C546" t="s">
        <v>44</v>
      </c>
      <c r="D546" t="s">
        <v>24</v>
      </c>
      <c r="E546" t="s">
        <v>25</v>
      </c>
      <c r="F546" t="s">
        <v>43</v>
      </c>
      <c r="G546">
        <v>560</v>
      </c>
      <c r="H546">
        <v>1510</v>
      </c>
      <c r="I546">
        <v>9027.8279490000004</v>
      </c>
      <c r="J546" t="b">
        <v>1</v>
      </c>
      <c r="K546">
        <v>29</v>
      </c>
      <c r="L546" t="b">
        <v>0</v>
      </c>
      <c r="M546">
        <v>68565.983619999999</v>
      </c>
      <c r="N546">
        <v>2948.5</v>
      </c>
      <c r="O546">
        <v>8555</v>
      </c>
      <c r="P546" t="s">
        <v>36</v>
      </c>
      <c r="Q546">
        <v>0.18992708156689841</v>
      </c>
      <c r="R546" t="s">
        <v>37</v>
      </c>
      <c r="S546">
        <v>16.1211213375</v>
      </c>
      <c r="T546">
        <v>0.34465225014611339</v>
      </c>
      <c r="U546" t="s">
        <v>34</v>
      </c>
      <c r="V546">
        <v>0</v>
      </c>
    </row>
    <row r="547" spans="1:22" x14ac:dyDescent="0.3">
      <c r="A547" s="1">
        <v>45581</v>
      </c>
      <c r="B547" t="s">
        <v>38</v>
      </c>
      <c r="C547" t="s">
        <v>23</v>
      </c>
      <c r="D547" t="s">
        <v>35</v>
      </c>
      <c r="E547" t="s">
        <v>25</v>
      </c>
      <c r="F547" t="s">
        <v>26</v>
      </c>
      <c r="G547">
        <v>375</v>
      </c>
      <c r="H547">
        <v>4387</v>
      </c>
      <c r="I547">
        <v>2169.7589170000001</v>
      </c>
      <c r="J547" t="b">
        <v>1</v>
      </c>
      <c r="K547">
        <v>25</v>
      </c>
      <c r="L547" t="b">
        <v>0</v>
      </c>
      <c r="M547">
        <v>28394.084449999998</v>
      </c>
      <c r="N547">
        <v>2314.5</v>
      </c>
      <c r="O547">
        <v>7364</v>
      </c>
      <c r="P547" t="s">
        <v>27</v>
      </c>
      <c r="Q547">
        <v>0.16202203499675957</v>
      </c>
      <c r="R547" t="s">
        <v>37</v>
      </c>
      <c r="S547">
        <v>5.7860237786666673</v>
      </c>
      <c r="T547">
        <v>0.31429929386203148</v>
      </c>
      <c r="U547" t="s">
        <v>34</v>
      </c>
      <c r="V547">
        <v>0</v>
      </c>
    </row>
    <row r="548" spans="1:22" x14ac:dyDescent="0.3">
      <c r="A548" s="1">
        <v>45580</v>
      </c>
      <c r="B548" t="s">
        <v>22</v>
      </c>
      <c r="C548" t="s">
        <v>41</v>
      </c>
      <c r="D548" t="s">
        <v>46</v>
      </c>
      <c r="E548" t="s">
        <v>25</v>
      </c>
      <c r="F548" t="s">
        <v>26</v>
      </c>
      <c r="G548">
        <v>846</v>
      </c>
      <c r="H548">
        <v>242</v>
      </c>
      <c r="I548">
        <v>11049.278190000001</v>
      </c>
      <c r="J548" t="b">
        <v>1</v>
      </c>
      <c r="K548">
        <v>7</v>
      </c>
      <c r="L548" t="b">
        <v>0</v>
      </c>
      <c r="M548">
        <v>38653.683920000003</v>
      </c>
      <c r="N548">
        <v>1741</v>
      </c>
      <c r="O548">
        <v>8170</v>
      </c>
      <c r="P548" t="s">
        <v>36</v>
      </c>
      <c r="Q548">
        <v>0.48592762780011489</v>
      </c>
      <c r="R548" t="s">
        <v>40</v>
      </c>
      <c r="S548">
        <v>13.060612517730497</v>
      </c>
      <c r="T548">
        <v>0.21309669522643818</v>
      </c>
      <c r="U548" t="s">
        <v>34</v>
      </c>
      <c r="V548">
        <v>0</v>
      </c>
    </row>
    <row r="549" spans="1:22" x14ac:dyDescent="0.3">
      <c r="A549" s="1">
        <v>45579</v>
      </c>
      <c r="B549" t="s">
        <v>30</v>
      </c>
      <c r="C549" t="s">
        <v>44</v>
      </c>
      <c r="D549" t="s">
        <v>32</v>
      </c>
      <c r="E549" t="s">
        <v>25</v>
      </c>
      <c r="F549" t="s">
        <v>26</v>
      </c>
      <c r="G549">
        <v>250</v>
      </c>
      <c r="H549">
        <v>3240</v>
      </c>
      <c r="I549">
        <v>9241.2725160000009</v>
      </c>
      <c r="J549" t="b">
        <v>1</v>
      </c>
      <c r="K549">
        <v>21</v>
      </c>
      <c r="L549" t="b">
        <v>0</v>
      </c>
      <c r="M549">
        <v>42134.672559999999</v>
      </c>
      <c r="N549">
        <v>1891</v>
      </c>
      <c r="O549">
        <v>6925</v>
      </c>
      <c r="P549" t="s">
        <v>27</v>
      </c>
      <c r="Q549">
        <v>0.13220518244315177</v>
      </c>
      <c r="R549" t="s">
        <v>37</v>
      </c>
      <c r="S549">
        <v>36.965090064000002</v>
      </c>
      <c r="T549">
        <v>0.27306859205776174</v>
      </c>
      <c r="U549" t="s">
        <v>34</v>
      </c>
      <c r="V549">
        <v>0</v>
      </c>
    </row>
    <row r="550" spans="1:22" x14ac:dyDescent="0.3">
      <c r="A550" s="1">
        <v>45578</v>
      </c>
      <c r="B550" t="s">
        <v>42</v>
      </c>
      <c r="C550" t="s">
        <v>41</v>
      </c>
      <c r="D550" t="s">
        <v>24</v>
      </c>
      <c r="E550" t="s">
        <v>25</v>
      </c>
      <c r="F550" t="s">
        <v>26</v>
      </c>
      <c r="G550">
        <v>694</v>
      </c>
      <c r="H550">
        <v>542</v>
      </c>
      <c r="I550">
        <v>13046.77111</v>
      </c>
      <c r="J550" t="b">
        <v>1</v>
      </c>
      <c r="K550">
        <v>24</v>
      </c>
      <c r="L550" t="b">
        <v>0</v>
      </c>
      <c r="M550">
        <v>16284.58056</v>
      </c>
      <c r="N550">
        <v>1668</v>
      </c>
      <c r="O550">
        <v>8002</v>
      </c>
      <c r="P550" t="s">
        <v>36</v>
      </c>
      <c r="Q550">
        <v>0.41606714628297364</v>
      </c>
      <c r="R550" t="s">
        <v>37</v>
      </c>
      <c r="S550">
        <v>18.799382002881845</v>
      </c>
      <c r="T550">
        <v>0.20844788802799299</v>
      </c>
      <c r="U550" t="s">
        <v>34</v>
      </c>
      <c r="V550">
        <v>0</v>
      </c>
    </row>
    <row r="551" spans="1:22" x14ac:dyDescent="0.3">
      <c r="A551" s="1">
        <v>45577</v>
      </c>
      <c r="B551" t="s">
        <v>30</v>
      </c>
      <c r="C551" t="s">
        <v>31</v>
      </c>
      <c r="D551" t="s">
        <v>32</v>
      </c>
      <c r="E551" t="s">
        <v>45</v>
      </c>
      <c r="F551" t="s">
        <v>43</v>
      </c>
      <c r="G551">
        <v>340</v>
      </c>
      <c r="H551">
        <v>2794</v>
      </c>
      <c r="I551">
        <v>12638.848480000001</v>
      </c>
      <c r="J551" t="b">
        <v>1</v>
      </c>
      <c r="K551">
        <v>15</v>
      </c>
      <c r="L551" t="b">
        <v>0</v>
      </c>
      <c r="M551">
        <v>28001.690360000001</v>
      </c>
      <c r="N551">
        <v>1854.5</v>
      </c>
      <c r="O551">
        <v>9870</v>
      </c>
      <c r="P551" t="s">
        <v>27</v>
      </c>
      <c r="Q551">
        <v>0.18333782690752223</v>
      </c>
      <c r="R551" t="s">
        <v>37</v>
      </c>
      <c r="S551">
        <v>37.173083764705886</v>
      </c>
      <c r="T551">
        <v>0.18789260385005066</v>
      </c>
      <c r="U551" t="s">
        <v>34</v>
      </c>
      <c r="V551">
        <v>0</v>
      </c>
    </row>
    <row r="552" spans="1:22" x14ac:dyDescent="0.3">
      <c r="A552" s="1">
        <v>45576</v>
      </c>
      <c r="B552" t="s">
        <v>22</v>
      </c>
      <c r="C552" t="s">
        <v>44</v>
      </c>
      <c r="D552" t="s">
        <v>32</v>
      </c>
      <c r="E552" t="s">
        <v>25</v>
      </c>
      <c r="F552" t="s">
        <v>26</v>
      </c>
      <c r="G552">
        <v>773</v>
      </c>
      <c r="H552">
        <v>915</v>
      </c>
      <c r="I552">
        <v>6059.1240230000003</v>
      </c>
      <c r="J552" t="b">
        <v>1</v>
      </c>
      <c r="K552">
        <v>20</v>
      </c>
      <c r="L552" t="b">
        <v>0</v>
      </c>
      <c r="M552">
        <v>75905.652310000005</v>
      </c>
      <c r="N552">
        <v>1573</v>
      </c>
      <c r="O552">
        <v>5641</v>
      </c>
      <c r="P552" t="s">
        <v>36</v>
      </c>
      <c r="Q552">
        <v>0.49141767323585506</v>
      </c>
      <c r="R552" t="s">
        <v>37</v>
      </c>
      <c r="S552">
        <v>7.8384528111254852</v>
      </c>
      <c r="T552">
        <v>0.27885126750576139</v>
      </c>
      <c r="U552" t="s">
        <v>34</v>
      </c>
      <c r="V552">
        <v>0</v>
      </c>
    </row>
    <row r="553" spans="1:22" x14ac:dyDescent="0.3">
      <c r="A553" s="1">
        <v>45575</v>
      </c>
      <c r="B553" t="s">
        <v>42</v>
      </c>
      <c r="C553" t="s">
        <v>41</v>
      </c>
      <c r="D553" t="s">
        <v>24</v>
      </c>
      <c r="E553" t="s">
        <v>25</v>
      </c>
      <c r="F553" t="s">
        <v>26</v>
      </c>
      <c r="G553">
        <v>300</v>
      </c>
      <c r="H553">
        <v>2231</v>
      </c>
      <c r="I553">
        <v>2096.0695230000001</v>
      </c>
      <c r="J553" t="b">
        <v>1</v>
      </c>
      <c r="K553">
        <v>6</v>
      </c>
      <c r="L553" t="b">
        <v>0</v>
      </c>
      <c r="M553">
        <v>41540.773730000001</v>
      </c>
      <c r="N553">
        <v>2064</v>
      </c>
      <c r="O553">
        <v>5148</v>
      </c>
      <c r="P553" t="s">
        <v>27</v>
      </c>
      <c r="Q553">
        <v>0.14534883720930233</v>
      </c>
      <c r="R553" t="s">
        <v>40</v>
      </c>
      <c r="S553">
        <v>6.9868984100000002</v>
      </c>
      <c r="T553">
        <v>0.40093240093240096</v>
      </c>
      <c r="U553" t="s">
        <v>29</v>
      </c>
      <c r="V553">
        <v>0</v>
      </c>
    </row>
    <row r="554" spans="1:22" x14ac:dyDescent="0.3">
      <c r="A554" s="1">
        <v>45574</v>
      </c>
      <c r="B554" t="s">
        <v>22</v>
      </c>
      <c r="C554" t="s">
        <v>23</v>
      </c>
      <c r="D554" t="s">
        <v>46</v>
      </c>
      <c r="E554" t="s">
        <v>25</v>
      </c>
      <c r="F554" t="s">
        <v>26</v>
      </c>
      <c r="G554">
        <v>958</v>
      </c>
      <c r="H554">
        <v>1897</v>
      </c>
      <c r="I554">
        <v>3430.173573</v>
      </c>
      <c r="J554" t="b">
        <v>1</v>
      </c>
      <c r="K554">
        <v>27</v>
      </c>
      <c r="L554" t="b">
        <v>0</v>
      </c>
      <c r="M554">
        <v>166611.48920000001</v>
      </c>
      <c r="N554">
        <v>3286</v>
      </c>
      <c r="O554">
        <v>9233</v>
      </c>
      <c r="P554" t="s">
        <v>36</v>
      </c>
      <c r="Q554">
        <v>0.29153986609860011</v>
      </c>
      <c r="R554" t="s">
        <v>37</v>
      </c>
      <c r="S554">
        <v>3.5805569655532361</v>
      </c>
      <c r="T554">
        <v>0.35589732481317016</v>
      </c>
      <c r="U554" t="s">
        <v>34</v>
      </c>
      <c r="V554">
        <v>0</v>
      </c>
    </row>
    <row r="555" spans="1:22" x14ac:dyDescent="0.3">
      <c r="A555" s="1">
        <v>45573</v>
      </c>
      <c r="B555" t="s">
        <v>22</v>
      </c>
      <c r="C555" t="s">
        <v>23</v>
      </c>
      <c r="D555" t="s">
        <v>46</v>
      </c>
      <c r="E555" t="s">
        <v>45</v>
      </c>
      <c r="F555" t="s">
        <v>26</v>
      </c>
      <c r="G555">
        <v>985</v>
      </c>
      <c r="H555">
        <v>4675</v>
      </c>
      <c r="I555">
        <v>8156.9871739999999</v>
      </c>
      <c r="J555" t="b">
        <v>1</v>
      </c>
      <c r="K555">
        <v>22</v>
      </c>
      <c r="L555" t="b">
        <v>1</v>
      </c>
      <c r="M555">
        <v>28498.446499999998</v>
      </c>
      <c r="N555">
        <v>3948.5</v>
      </c>
      <c r="O555">
        <v>7481</v>
      </c>
      <c r="P555" t="s">
        <v>27</v>
      </c>
      <c r="Q555">
        <v>0.24946182094466254</v>
      </c>
      <c r="R555" t="s">
        <v>37</v>
      </c>
      <c r="S555">
        <v>8.281205252791878</v>
      </c>
      <c r="T555">
        <v>0.52780376954952546</v>
      </c>
      <c r="U555" t="s">
        <v>29</v>
      </c>
      <c r="V555">
        <v>1</v>
      </c>
    </row>
    <row r="556" spans="1:22" x14ac:dyDescent="0.3">
      <c r="A556" s="1">
        <v>45572</v>
      </c>
      <c r="B556" t="s">
        <v>22</v>
      </c>
      <c r="C556" t="s">
        <v>31</v>
      </c>
      <c r="D556" t="s">
        <v>35</v>
      </c>
      <c r="E556" t="s">
        <v>25</v>
      </c>
      <c r="F556" t="s">
        <v>26</v>
      </c>
      <c r="G556">
        <v>849</v>
      </c>
      <c r="H556">
        <v>3222</v>
      </c>
      <c r="I556">
        <v>11065.23682</v>
      </c>
      <c r="J556" t="b">
        <v>1</v>
      </c>
      <c r="K556">
        <v>15</v>
      </c>
      <c r="L556" t="b">
        <v>1</v>
      </c>
      <c r="M556">
        <v>138542.4908</v>
      </c>
      <c r="N556">
        <v>3770</v>
      </c>
      <c r="O556">
        <v>5214</v>
      </c>
      <c r="P556" t="s">
        <v>36</v>
      </c>
      <c r="Q556">
        <v>0.22519893899204244</v>
      </c>
      <c r="R556" t="s">
        <v>37</v>
      </c>
      <c r="S556">
        <v>13.033258916372203</v>
      </c>
      <c r="T556">
        <v>0.72305331799002681</v>
      </c>
      <c r="U556" t="s">
        <v>29</v>
      </c>
      <c r="V556">
        <v>1</v>
      </c>
    </row>
    <row r="557" spans="1:22" x14ac:dyDescent="0.3">
      <c r="A557" s="1">
        <v>45571</v>
      </c>
      <c r="B557" t="s">
        <v>42</v>
      </c>
      <c r="C557" t="s">
        <v>44</v>
      </c>
      <c r="D557" t="s">
        <v>46</v>
      </c>
      <c r="E557" t="s">
        <v>33</v>
      </c>
      <c r="F557" t="s">
        <v>26</v>
      </c>
      <c r="G557">
        <v>239</v>
      </c>
      <c r="H557">
        <v>4318</v>
      </c>
      <c r="I557">
        <v>1051.7130850000001</v>
      </c>
      <c r="J557" t="b">
        <v>1</v>
      </c>
      <c r="K557">
        <v>27</v>
      </c>
      <c r="L557" t="b">
        <v>0</v>
      </c>
      <c r="M557">
        <v>15233.942349999999</v>
      </c>
      <c r="N557">
        <v>4346.5</v>
      </c>
      <c r="O557">
        <v>8554</v>
      </c>
      <c r="P557" t="s">
        <v>36</v>
      </c>
      <c r="Q557">
        <v>5.4986770965144371E-2</v>
      </c>
      <c r="R557" t="s">
        <v>37</v>
      </c>
      <c r="S557">
        <v>4.4004731589958164</v>
      </c>
      <c r="T557">
        <v>0.50812485386953476</v>
      </c>
      <c r="U557" t="s">
        <v>29</v>
      </c>
      <c r="V557">
        <v>0</v>
      </c>
    </row>
    <row r="558" spans="1:22" x14ac:dyDescent="0.3">
      <c r="A558" s="1">
        <v>45570</v>
      </c>
      <c r="B558" t="s">
        <v>22</v>
      </c>
      <c r="C558" t="s">
        <v>31</v>
      </c>
      <c r="D558" t="s">
        <v>24</v>
      </c>
      <c r="E558" t="s">
        <v>33</v>
      </c>
      <c r="F558" t="s">
        <v>26</v>
      </c>
      <c r="G558">
        <v>999</v>
      </c>
      <c r="H558">
        <v>4375</v>
      </c>
      <c r="I558">
        <v>7076.8057390000004</v>
      </c>
      <c r="J558" t="b">
        <v>1</v>
      </c>
      <c r="K558">
        <v>27</v>
      </c>
      <c r="L558" t="b">
        <v>0</v>
      </c>
      <c r="M558">
        <v>29515.094150000001</v>
      </c>
      <c r="N558">
        <v>2499</v>
      </c>
      <c r="O558">
        <v>9053</v>
      </c>
      <c r="P558" t="s">
        <v>27</v>
      </c>
      <c r="Q558">
        <v>0.39975990396158462</v>
      </c>
      <c r="R558" t="s">
        <v>37</v>
      </c>
      <c r="S558">
        <v>7.0838896286286293</v>
      </c>
      <c r="T558">
        <v>0.27604109135093341</v>
      </c>
      <c r="U558" t="s">
        <v>34</v>
      </c>
      <c r="V558">
        <v>0</v>
      </c>
    </row>
    <row r="559" spans="1:22" x14ac:dyDescent="0.3">
      <c r="A559" s="1">
        <v>45569</v>
      </c>
      <c r="B559" t="s">
        <v>42</v>
      </c>
      <c r="C559" t="s">
        <v>23</v>
      </c>
      <c r="D559" t="s">
        <v>24</v>
      </c>
      <c r="E559" t="s">
        <v>45</v>
      </c>
      <c r="F559" t="s">
        <v>26</v>
      </c>
      <c r="G559">
        <v>159</v>
      </c>
      <c r="H559">
        <v>623</v>
      </c>
      <c r="I559">
        <v>7656.3830639999996</v>
      </c>
      <c r="J559" t="b">
        <v>0</v>
      </c>
      <c r="K559">
        <v>10</v>
      </c>
      <c r="L559" t="b">
        <v>0</v>
      </c>
      <c r="M559">
        <v>21296.444080000001</v>
      </c>
      <c r="N559">
        <v>1906</v>
      </c>
      <c r="O559">
        <v>8549</v>
      </c>
      <c r="P559" t="s">
        <v>36</v>
      </c>
      <c r="Q559">
        <v>8.3420776495278071E-2</v>
      </c>
      <c r="R559" t="s">
        <v>28</v>
      </c>
      <c r="S559">
        <v>48.153352603773584</v>
      </c>
      <c r="T559">
        <v>0.2229500526377354</v>
      </c>
      <c r="U559" t="s">
        <v>34</v>
      </c>
      <c r="V559">
        <v>0</v>
      </c>
    </row>
    <row r="560" spans="1:22" x14ac:dyDescent="0.3">
      <c r="A560" s="1">
        <v>45568</v>
      </c>
      <c r="B560" t="s">
        <v>38</v>
      </c>
      <c r="C560" t="s">
        <v>44</v>
      </c>
      <c r="D560" t="s">
        <v>32</v>
      </c>
      <c r="E560" t="s">
        <v>45</v>
      </c>
      <c r="F560" t="s">
        <v>26</v>
      </c>
      <c r="G560">
        <v>132</v>
      </c>
      <c r="H560">
        <v>3189</v>
      </c>
      <c r="I560">
        <v>13763.071120000001</v>
      </c>
      <c r="J560" t="b">
        <v>1</v>
      </c>
      <c r="K560">
        <v>25</v>
      </c>
      <c r="L560" t="b">
        <v>0</v>
      </c>
      <c r="M560">
        <v>16694.266479999998</v>
      </c>
      <c r="N560">
        <v>1783</v>
      </c>
      <c r="O560">
        <v>5224</v>
      </c>
      <c r="P560" t="s">
        <v>27</v>
      </c>
      <c r="Q560">
        <v>7.4032529444756023E-2</v>
      </c>
      <c r="R560" t="s">
        <v>37</v>
      </c>
      <c r="S560">
        <v>104.26569030303031</v>
      </c>
      <c r="T560">
        <v>0.34130934150076569</v>
      </c>
      <c r="U560" t="s">
        <v>34</v>
      </c>
      <c r="V560">
        <v>0</v>
      </c>
    </row>
    <row r="561" spans="1:22" x14ac:dyDescent="0.3">
      <c r="A561" s="1">
        <v>45567</v>
      </c>
      <c r="B561" t="s">
        <v>38</v>
      </c>
      <c r="C561" t="s">
        <v>44</v>
      </c>
      <c r="D561" t="s">
        <v>35</v>
      </c>
      <c r="E561" t="s">
        <v>33</v>
      </c>
      <c r="F561" t="s">
        <v>26</v>
      </c>
      <c r="G561">
        <v>525</v>
      </c>
      <c r="H561">
        <v>377</v>
      </c>
      <c r="I561">
        <v>2344.7608610000002</v>
      </c>
      <c r="J561" t="b">
        <v>1</v>
      </c>
      <c r="K561">
        <v>3</v>
      </c>
      <c r="L561" t="b">
        <v>0</v>
      </c>
      <c r="M561">
        <v>22899.863140000001</v>
      </c>
      <c r="N561">
        <v>1952</v>
      </c>
      <c r="O561">
        <v>6675</v>
      </c>
      <c r="P561" t="s">
        <v>36</v>
      </c>
      <c r="Q561">
        <v>0.26895491803278687</v>
      </c>
      <c r="R561" t="s">
        <v>40</v>
      </c>
      <c r="S561">
        <v>4.4662111638095245</v>
      </c>
      <c r="T561">
        <v>0.29243445692883896</v>
      </c>
      <c r="U561" t="s">
        <v>34</v>
      </c>
      <c r="V561">
        <v>0</v>
      </c>
    </row>
    <row r="562" spans="1:22" x14ac:dyDescent="0.3">
      <c r="A562" s="1">
        <v>45566</v>
      </c>
      <c r="B562" t="s">
        <v>42</v>
      </c>
      <c r="C562" t="s">
        <v>41</v>
      </c>
      <c r="D562" t="s">
        <v>35</v>
      </c>
      <c r="E562" t="s">
        <v>25</v>
      </c>
      <c r="F562" t="s">
        <v>43</v>
      </c>
      <c r="G562">
        <v>834</v>
      </c>
      <c r="H562">
        <v>3527</v>
      </c>
      <c r="I562">
        <v>1002.435292</v>
      </c>
      <c r="J562" t="b">
        <v>1</v>
      </c>
      <c r="K562">
        <v>26</v>
      </c>
      <c r="L562" t="b">
        <v>0</v>
      </c>
      <c r="M562">
        <v>44140.550640000001</v>
      </c>
      <c r="N562">
        <v>2811.5</v>
      </c>
      <c r="O562">
        <v>6795</v>
      </c>
      <c r="P562" t="s">
        <v>27</v>
      </c>
      <c r="Q562">
        <v>0.29663880490841188</v>
      </c>
      <c r="R562" t="s">
        <v>37</v>
      </c>
      <c r="S562">
        <v>1.2019607817745803</v>
      </c>
      <c r="T562">
        <v>0.41376011773362764</v>
      </c>
      <c r="U562" t="s">
        <v>29</v>
      </c>
      <c r="V562">
        <v>0</v>
      </c>
    </row>
    <row r="563" spans="1:22" x14ac:dyDescent="0.3">
      <c r="A563" s="1">
        <v>45565</v>
      </c>
      <c r="B563" t="s">
        <v>38</v>
      </c>
      <c r="C563" t="s">
        <v>23</v>
      </c>
      <c r="D563" t="s">
        <v>35</v>
      </c>
      <c r="E563" t="s">
        <v>33</v>
      </c>
      <c r="F563" t="s">
        <v>26</v>
      </c>
      <c r="G563">
        <v>404</v>
      </c>
      <c r="H563">
        <v>2096</v>
      </c>
      <c r="I563">
        <v>5162.2286279999998</v>
      </c>
      <c r="J563" t="b">
        <v>1</v>
      </c>
      <c r="K563">
        <v>1</v>
      </c>
      <c r="L563" t="b">
        <v>1</v>
      </c>
      <c r="M563">
        <v>48434.629180000004</v>
      </c>
      <c r="N563">
        <v>1216.5</v>
      </c>
      <c r="O563">
        <v>6200</v>
      </c>
      <c r="P563" t="s">
        <v>27</v>
      </c>
      <c r="Q563">
        <v>0.33210028771064531</v>
      </c>
      <c r="R563" t="s">
        <v>40</v>
      </c>
      <c r="S563">
        <v>12.777793633663366</v>
      </c>
      <c r="T563">
        <v>0.19620967741935483</v>
      </c>
      <c r="U563" t="s">
        <v>34</v>
      </c>
      <c r="V563">
        <v>1</v>
      </c>
    </row>
    <row r="564" spans="1:22" x14ac:dyDescent="0.3">
      <c r="A564" s="1">
        <v>45564</v>
      </c>
      <c r="B564" t="s">
        <v>30</v>
      </c>
      <c r="C564" t="s">
        <v>23</v>
      </c>
      <c r="D564" t="s">
        <v>32</v>
      </c>
      <c r="E564" t="s">
        <v>25</v>
      </c>
      <c r="F564" t="s">
        <v>26</v>
      </c>
      <c r="G564">
        <v>336</v>
      </c>
      <c r="H564">
        <v>337</v>
      </c>
      <c r="I564">
        <v>11154.009690000001</v>
      </c>
      <c r="J564" t="b">
        <v>1</v>
      </c>
      <c r="K564">
        <v>15</v>
      </c>
      <c r="L564" t="b">
        <v>0</v>
      </c>
      <c r="M564">
        <v>65421.892099999997</v>
      </c>
      <c r="N564">
        <v>984.5</v>
      </c>
      <c r="O564">
        <v>7786</v>
      </c>
      <c r="P564" t="s">
        <v>36</v>
      </c>
      <c r="Q564">
        <v>0.34128999492127982</v>
      </c>
      <c r="R564" t="s">
        <v>37</v>
      </c>
      <c r="S564">
        <v>33.196457410714288</v>
      </c>
      <c r="T564">
        <v>0.12644490110454662</v>
      </c>
      <c r="U564" t="s">
        <v>34</v>
      </c>
      <c r="V564">
        <v>0</v>
      </c>
    </row>
    <row r="565" spans="1:22" x14ac:dyDescent="0.3">
      <c r="A565" s="1">
        <v>45563</v>
      </c>
      <c r="B565" t="s">
        <v>22</v>
      </c>
      <c r="C565" t="s">
        <v>44</v>
      </c>
      <c r="D565" t="s">
        <v>24</v>
      </c>
      <c r="E565" t="s">
        <v>45</v>
      </c>
      <c r="F565" t="s">
        <v>26</v>
      </c>
      <c r="G565">
        <v>294</v>
      </c>
      <c r="H565">
        <v>1632</v>
      </c>
      <c r="I565">
        <v>8957.5048590000006</v>
      </c>
      <c r="J565" t="b">
        <v>1</v>
      </c>
      <c r="K565">
        <v>3</v>
      </c>
      <c r="L565" t="b">
        <v>0</v>
      </c>
      <c r="M565">
        <v>12468.81806</v>
      </c>
      <c r="N565">
        <v>2679.5</v>
      </c>
      <c r="O565">
        <v>7407</v>
      </c>
      <c r="P565" t="s">
        <v>36</v>
      </c>
      <c r="Q565">
        <v>0.10972196305280836</v>
      </c>
      <c r="R565" t="s">
        <v>40</v>
      </c>
      <c r="S565">
        <v>30.467703602040817</v>
      </c>
      <c r="T565">
        <v>0.36175239638180101</v>
      </c>
      <c r="U565" t="s">
        <v>34</v>
      </c>
      <c r="V565">
        <v>0</v>
      </c>
    </row>
    <row r="566" spans="1:22" x14ac:dyDescent="0.3">
      <c r="A566" s="1">
        <v>45562</v>
      </c>
      <c r="B566" t="s">
        <v>38</v>
      </c>
      <c r="C566" t="s">
        <v>44</v>
      </c>
      <c r="D566" t="s">
        <v>35</v>
      </c>
      <c r="E566" t="s">
        <v>45</v>
      </c>
      <c r="F566" t="s">
        <v>43</v>
      </c>
      <c r="G566">
        <v>914</v>
      </c>
      <c r="H566">
        <v>3727</v>
      </c>
      <c r="I566">
        <v>2293.5173340000001</v>
      </c>
      <c r="J566" t="b">
        <v>1</v>
      </c>
      <c r="K566">
        <v>13</v>
      </c>
      <c r="L566" t="b">
        <v>0</v>
      </c>
      <c r="M566">
        <v>151224.93789999999</v>
      </c>
      <c r="N566">
        <v>3274</v>
      </c>
      <c r="O566">
        <v>9766</v>
      </c>
      <c r="P566" t="s">
        <v>27</v>
      </c>
      <c r="Q566">
        <v>0.27916921197312156</v>
      </c>
      <c r="R566" t="s">
        <v>28</v>
      </c>
      <c r="S566">
        <v>2.5093187461706785</v>
      </c>
      <c r="T566">
        <v>0.33524472660249849</v>
      </c>
      <c r="U566" t="s">
        <v>34</v>
      </c>
      <c r="V566">
        <v>0</v>
      </c>
    </row>
    <row r="567" spans="1:22" x14ac:dyDescent="0.3">
      <c r="A567" s="1">
        <v>45561</v>
      </c>
      <c r="B567" t="s">
        <v>38</v>
      </c>
      <c r="C567" t="s">
        <v>23</v>
      </c>
      <c r="D567" t="s">
        <v>32</v>
      </c>
      <c r="E567" t="s">
        <v>45</v>
      </c>
      <c r="F567" t="s">
        <v>26</v>
      </c>
      <c r="G567">
        <v>92</v>
      </c>
      <c r="H567">
        <v>2821</v>
      </c>
      <c r="I567">
        <v>2291.7140669999999</v>
      </c>
      <c r="J567" t="b">
        <v>1</v>
      </c>
      <c r="K567">
        <v>7</v>
      </c>
      <c r="L567" t="b">
        <v>0</v>
      </c>
      <c r="M567">
        <v>7442.0094069999996</v>
      </c>
      <c r="N567">
        <v>3165.5</v>
      </c>
      <c r="O567">
        <v>6393</v>
      </c>
      <c r="P567" t="s">
        <v>36</v>
      </c>
      <c r="Q567">
        <v>2.9063339124940767E-2</v>
      </c>
      <c r="R567" t="s">
        <v>40</v>
      </c>
      <c r="S567">
        <v>24.909935510869563</v>
      </c>
      <c r="T567">
        <v>0.49515094634756768</v>
      </c>
      <c r="U567" t="s">
        <v>29</v>
      </c>
      <c r="V567">
        <v>0</v>
      </c>
    </row>
    <row r="568" spans="1:22" x14ac:dyDescent="0.3">
      <c r="A568" s="1">
        <v>45560</v>
      </c>
      <c r="B568" t="s">
        <v>22</v>
      </c>
      <c r="C568" t="s">
        <v>31</v>
      </c>
      <c r="D568" t="s">
        <v>24</v>
      </c>
      <c r="E568" t="s">
        <v>25</v>
      </c>
      <c r="F568" t="s">
        <v>26</v>
      </c>
      <c r="G568">
        <v>896</v>
      </c>
      <c r="H568">
        <v>3510</v>
      </c>
      <c r="I568">
        <v>3898.3663150000002</v>
      </c>
      <c r="J568" t="b">
        <v>1</v>
      </c>
      <c r="K568">
        <v>2</v>
      </c>
      <c r="L568" t="b">
        <v>0</v>
      </c>
      <c r="M568">
        <v>73751.116469999994</v>
      </c>
      <c r="N568">
        <v>3220.5</v>
      </c>
      <c r="O568">
        <v>8497</v>
      </c>
      <c r="P568" t="s">
        <v>27</v>
      </c>
      <c r="Q568">
        <v>0.2782176680639652</v>
      </c>
      <c r="R568" t="s">
        <v>40</v>
      </c>
      <c r="S568">
        <v>4.3508552622767862</v>
      </c>
      <c r="T568">
        <v>0.37901612333764856</v>
      </c>
      <c r="U568" t="s">
        <v>34</v>
      </c>
      <c r="V568">
        <v>0</v>
      </c>
    </row>
    <row r="569" spans="1:22" x14ac:dyDescent="0.3">
      <c r="A569" s="1">
        <v>45559</v>
      </c>
      <c r="B569" t="s">
        <v>22</v>
      </c>
      <c r="C569" t="s">
        <v>23</v>
      </c>
      <c r="D569" t="s">
        <v>35</v>
      </c>
      <c r="E569" t="s">
        <v>33</v>
      </c>
      <c r="F569" t="s">
        <v>26</v>
      </c>
      <c r="G569">
        <v>255</v>
      </c>
      <c r="H569">
        <v>2931</v>
      </c>
      <c r="I569">
        <v>8028.5011320000003</v>
      </c>
      <c r="J569" t="b">
        <v>1</v>
      </c>
      <c r="K569">
        <v>22</v>
      </c>
      <c r="L569" t="b">
        <v>0</v>
      </c>
      <c r="M569">
        <v>25666.649460000001</v>
      </c>
      <c r="N569">
        <v>1554</v>
      </c>
      <c r="O569">
        <v>5359</v>
      </c>
      <c r="P569" t="s">
        <v>27</v>
      </c>
      <c r="Q569">
        <v>0.1640926640926641</v>
      </c>
      <c r="R569" t="s">
        <v>37</v>
      </c>
      <c r="S569">
        <v>31.484318164705883</v>
      </c>
      <c r="T569">
        <v>0.28997947378242211</v>
      </c>
      <c r="U569" t="s">
        <v>34</v>
      </c>
      <c r="V569">
        <v>0</v>
      </c>
    </row>
    <row r="570" spans="1:22" x14ac:dyDescent="0.3">
      <c r="A570" s="1">
        <v>45558</v>
      </c>
      <c r="B570" t="s">
        <v>42</v>
      </c>
      <c r="C570" t="s">
        <v>41</v>
      </c>
      <c r="D570" t="s">
        <v>32</v>
      </c>
      <c r="E570" t="s">
        <v>33</v>
      </c>
      <c r="F570" t="s">
        <v>26</v>
      </c>
      <c r="G570">
        <v>940</v>
      </c>
      <c r="H570">
        <v>177</v>
      </c>
      <c r="I570">
        <v>4379.1419390000001</v>
      </c>
      <c r="J570" t="b">
        <v>1</v>
      </c>
      <c r="K570">
        <v>29</v>
      </c>
      <c r="L570" t="b">
        <v>0</v>
      </c>
      <c r="M570">
        <v>74700.454089999999</v>
      </c>
      <c r="N570">
        <v>906</v>
      </c>
      <c r="O570">
        <v>5034</v>
      </c>
      <c r="P570" t="s">
        <v>36</v>
      </c>
      <c r="Q570">
        <v>1.0375275938189845</v>
      </c>
      <c r="R570" t="s">
        <v>37</v>
      </c>
      <c r="S570">
        <v>4.6586616372340428</v>
      </c>
      <c r="T570">
        <v>0.1799761620977354</v>
      </c>
      <c r="U570" t="s">
        <v>34</v>
      </c>
      <c r="V570">
        <v>0</v>
      </c>
    </row>
    <row r="571" spans="1:22" x14ac:dyDescent="0.3">
      <c r="A571" s="1">
        <v>45557</v>
      </c>
      <c r="B571" t="s">
        <v>22</v>
      </c>
      <c r="C571" t="s">
        <v>44</v>
      </c>
      <c r="D571" t="s">
        <v>35</v>
      </c>
      <c r="E571" t="s">
        <v>25</v>
      </c>
      <c r="F571" t="s">
        <v>26</v>
      </c>
      <c r="G571">
        <v>817</v>
      </c>
      <c r="H571">
        <v>1635</v>
      </c>
      <c r="I571">
        <v>4586.0615809999999</v>
      </c>
      <c r="J571" t="b">
        <v>1</v>
      </c>
      <c r="K571">
        <v>26</v>
      </c>
      <c r="L571" t="b">
        <v>0</v>
      </c>
      <c r="M571">
        <v>72675.786170000007</v>
      </c>
      <c r="N571">
        <v>2807</v>
      </c>
      <c r="O571">
        <v>9572</v>
      </c>
      <c r="P571" t="s">
        <v>36</v>
      </c>
      <c r="Q571">
        <v>0.29105806911293197</v>
      </c>
      <c r="R571" t="s">
        <v>37</v>
      </c>
      <c r="S571">
        <v>5.6132944687882498</v>
      </c>
      <c r="T571">
        <v>0.29325114918512329</v>
      </c>
      <c r="U571" t="s">
        <v>34</v>
      </c>
      <c r="V571">
        <v>0</v>
      </c>
    </row>
    <row r="572" spans="1:22" x14ac:dyDescent="0.3">
      <c r="A572" s="1">
        <v>45556</v>
      </c>
      <c r="B572" t="s">
        <v>30</v>
      </c>
      <c r="C572" t="s">
        <v>41</v>
      </c>
      <c r="D572" t="s">
        <v>35</v>
      </c>
      <c r="E572" t="s">
        <v>25</v>
      </c>
      <c r="F572" t="s">
        <v>26</v>
      </c>
      <c r="G572">
        <v>665</v>
      </c>
      <c r="H572">
        <v>3979</v>
      </c>
      <c r="I572">
        <v>3240.29207</v>
      </c>
      <c r="J572" t="b">
        <v>1</v>
      </c>
      <c r="K572">
        <v>29</v>
      </c>
      <c r="L572" t="b">
        <v>0</v>
      </c>
      <c r="M572">
        <v>106360.2417</v>
      </c>
      <c r="N572">
        <v>2689</v>
      </c>
      <c r="O572">
        <v>9093</v>
      </c>
      <c r="P572" t="s">
        <v>27</v>
      </c>
      <c r="Q572">
        <v>0.24730383042023057</v>
      </c>
      <c r="R572" t="s">
        <v>37</v>
      </c>
      <c r="S572">
        <v>4.8726196541353382</v>
      </c>
      <c r="T572">
        <v>0.29572198394369292</v>
      </c>
      <c r="U572" t="s">
        <v>34</v>
      </c>
      <c r="V572">
        <v>0</v>
      </c>
    </row>
    <row r="573" spans="1:22" x14ac:dyDescent="0.3">
      <c r="A573" s="1">
        <v>45555</v>
      </c>
      <c r="B573" t="s">
        <v>30</v>
      </c>
      <c r="C573" t="s">
        <v>44</v>
      </c>
      <c r="D573" t="s">
        <v>35</v>
      </c>
      <c r="E573" t="s">
        <v>33</v>
      </c>
      <c r="F573" t="s">
        <v>39</v>
      </c>
      <c r="G573">
        <v>904</v>
      </c>
      <c r="H573">
        <v>1399</v>
      </c>
      <c r="I573">
        <v>6718.8236459999998</v>
      </c>
      <c r="J573" t="b">
        <v>1</v>
      </c>
      <c r="K573">
        <v>10</v>
      </c>
      <c r="L573" t="b">
        <v>0</v>
      </c>
      <c r="M573">
        <v>27448.093919999999</v>
      </c>
      <c r="N573">
        <v>2387.5</v>
      </c>
      <c r="O573">
        <v>6514</v>
      </c>
      <c r="P573" t="s">
        <v>36</v>
      </c>
      <c r="Q573">
        <v>0.37863874345549736</v>
      </c>
      <c r="R573" t="s">
        <v>28</v>
      </c>
      <c r="S573">
        <v>7.4323270420353982</v>
      </c>
      <c r="T573">
        <v>0.36651826834510287</v>
      </c>
      <c r="U573" t="s">
        <v>34</v>
      </c>
      <c r="V573">
        <v>0</v>
      </c>
    </row>
    <row r="574" spans="1:22" x14ac:dyDescent="0.3">
      <c r="A574" s="1">
        <v>45554</v>
      </c>
      <c r="B574" t="s">
        <v>38</v>
      </c>
      <c r="C574" t="s">
        <v>23</v>
      </c>
      <c r="D574" t="s">
        <v>24</v>
      </c>
      <c r="E574" t="s">
        <v>45</v>
      </c>
      <c r="F574" t="s">
        <v>26</v>
      </c>
      <c r="G574">
        <v>421</v>
      </c>
      <c r="H574">
        <v>3376</v>
      </c>
      <c r="I574">
        <v>12403.328600000001</v>
      </c>
      <c r="J574" t="b">
        <v>1</v>
      </c>
      <c r="K574">
        <v>21</v>
      </c>
      <c r="L574" t="b">
        <v>0</v>
      </c>
      <c r="M574">
        <v>53844.683550000002</v>
      </c>
      <c r="N574">
        <v>2289</v>
      </c>
      <c r="O574">
        <v>5022</v>
      </c>
      <c r="P574" t="s">
        <v>27</v>
      </c>
      <c r="Q574">
        <v>0.18392311052861512</v>
      </c>
      <c r="R574" t="s">
        <v>37</v>
      </c>
      <c r="S574">
        <v>29.46158812351544</v>
      </c>
      <c r="T574">
        <v>0.45579450418160095</v>
      </c>
      <c r="U574" t="s">
        <v>29</v>
      </c>
      <c r="V574">
        <v>0</v>
      </c>
    </row>
    <row r="575" spans="1:22" x14ac:dyDescent="0.3">
      <c r="A575" s="1">
        <v>45553</v>
      </c>
      <c r="B575" t="s">
        <v>22</v>
      </c>
      <c r="C575" t="s">
        <v>44</v>
      </c>
      <c r="D575" t="s">
        <v>24</v>
      </c>
      <c r="E575" t="s">
        <v>25</v>
      </c>
      <c r="F575" t="s">
        <v>26</v>
      </c>
      <c r="G575">
        <v>844</v>
      </c>
      <c r="H575">
        <v>1202</v>
      </c>
      <c r="I575">
        <v>3161.6796559999998</v>
      </c>
      <c r="J575" t="b">
        <v>1</v>
      </c>
      <c r="K575">
        <v>12</v>
      </c>
      <c r="L575" t="b">
        <v>0</v>
      </c>
      <c r="M575">
        <v>129531.30100000001</v>
      </c>
      <c r="N575">
        <v>1391</v>
      </c>
      <c r="O575">
        <v>6452</v>
      </c>
      <c r="P575" t="s">
        <v>36</v>
      </c>
      <c r="Q575">
        <v>0.60675772825305541</v>
      </c>
      <c r="R575" t="s">
        <v>28</v>
      </c>
      <c r="S575">
        <v>3.7460659431279617</v>
      </c>
      <c r="T575">
        <v>0.21559206447613144</v>
      </c>
      <c r="U575" t="s">
        <v>34</v>
      </c>
      <c r="V575">
        <v>0</v>
      </c>
    </row>
    <row r="576" spans="1:22" x14ac:dyDescent="0.3">
      <c r="A576" s="1">
        <v>45552</v>
      </c>
      <c r="B576" t="s">
        <v>38</v>
      </c>
      <c r="C576" t="s">
        <v>41</v>
      </c>
      <c r="D576" t="s">
        <v>35</v>
      </c>
      <c r="E576" t="s">
        <v>33</v>
      </c>
      <c r="F576" t="s">
        <v>26</v>
      </c>
      <c r="G576">
        <v>158</v>
      </c>
      <c r="H576">
        <v>1580</v>
      </c>
      <c r="I576">
        <v>10408.232260000001</v>
      </c>
      <c r="J576" t="b">
        <v>0</v>
      </c>
      <c r="K576">
        <v>15</v>
      </c>
      <c r="L576" t="b">
        <v>0</v>
      </c>
      <c r="M576">
        <v>7616.812371</v>
      </c>
      <c r="N576">
        <v>2236.5</v>
      </c>
      <c r="O576">
        <v>7907</v>
      </c>
      <c r="P576" t="s">
        <v>36</v>
      </c>
      <c r="Q576">
        <v>7.0646098815112898E-2</v>
      </c>
      <c r="R576" t="s">
        <v>37</v>
      </c>
      <c r="S576">
        <v>65.874887721518988</v>
      </c>
      <c r="T576">
        <v>0.28285063867459215</v>
      </c>
      <c r="U576" t="s">
        <v>34</v>
      </c>
      <c r="V576">
        <v>0</v>
      </c>
    </row>
    <row r="577" spans="1:22" x14ac:dyDescent="0.3">
      <c r="A577" s="1">
        <v>45551</v>
      </c>
      <c r="B577" t="s">
        <v>22</v>
      </c>
      <c r="C577" t="s">
        <v>41</v>
      </c>
      <c r="D577" t="s">
        <v>35</v>
      </c>
      <c r="E577" t="s">
        <v>33</v>
      </c>
      <c r="F577" t="s">
        <v>26</v>
      </c>
      <c r="G577">
        <v>822</v>
      </c>
      <c r="H577">
        <v>2893</v>
      </c>
      <c r="I577">
        <v>12365.357389999999</v>
      </c>
      <c r="J577" t="b">
        <v>1</v>
      </c>
      <c r="K577">
        <v>26</v>
      </c>
      <c r="L577" t="b">
        <v>0</v>
      </c>
      <c r="M577">
        <v>130279.7991</v>
      </c>
      <c r="N577">
        <v>2297</v>
      </c>
      <c r="O577">
        <v>8842</v>
      </c>
      <c r="P577" t="s">
        <v>27</v>
      </c>
      <c r="Q577">
        <v>0.35785807575097955</v>
      </c>
      <c r="R577" t="s">
        <v>37</v>
      </c>
      <c r="S577">
        <v>15.043013856447688</v>
      </c>
      <c r="T577">
        <v>0.25978285455779238</v>
      </c>
      <c r="U577" t="s">
        <v>34</v>
      </c>
      <c r="V577">
        <v>0</v>
      </c>
    </row>
    <row r="578" spans="1:22" x14ac:dyDescent="0.3">
      <c r="A578" s="1">
        <v>45550</v>
      </c>
      <c r="B578" t="s">
        <v>38</v>
      </c>
      <c r="C578" t="s">
        <v>23</v>
      </c>
      <c r="D578" t="s">
        <v>32</v>
      </c>
      <c r="E578" t="s">
        <v>45</v>
      </c>
      <c r="F578" t="s">
        <v>26</v>
      </c>
      <c r="G578">
        <v>659</v>
      </c>
      <c r="H578">
        <v>1701</v>
      </c>
      <c r="I578">
        <v>7207.849397</v>
      </c>
      <c r="J578" t="b">
        <v>1</v>
      </c>
      <c r="K578">
        <v>19</v>
      </c>
      <c r="L578" t="b">
        <v>0</v>
      </c>
      <c r="M578">
        <v>90610.362250000006</v>
      </c>
      <c r="N578">
        <v>1880</v>
      </c>
      <c r="O578">
        <v>7519</v>
      </c>
      <c r="P578" t="s">
        <v>36</v>
      </c>
      <c r="Q578">
        <v>0.35053191489361701</v>
      </c>
      <c r="R578" t="s">
        <v>37</v>
      </c>
      <c r="S578">
        <v>10.937555989377845</v>
      </c>
      <c r="T578">
        <v>0.25003324910227426</v>
      </c>
      <c r="U578" t="s">
        <v>34</v>
      </c>
      <c r="V578">
        <v>0</v>
      </c>
    </row>
    <row r="579" spans="1:22" x14ac:dyDescent="0.3">
      <c r="A579" s="1">
        <v>45549</v>
      </c>
      <c r="B579" t="s">
        <v>30</v>
      </c>
      <c r="C579" t="s">
        <v>23</v>
      </c>
      <c r="D579" t="s">
        <v>46</v>
      </c>
      <c r="E579" t="s">
        <v>25</v>
      </c>
      <c r="F579" t="s">
        <v>26</v>
      </c>
      <c r="G579">
        <v>605</v>
      </c>
      <c r="H579">
        <v>2059</v>
      </c>
      <c r="I579">
        <v>8959.6801200000009</v>
      </c>
      <c r="J579" t="b">
        <v>1</v>
      </c>
      <c r="K579">
        <v>16</v>
      </c>
      <c r="L579" t="b">
        <v>0</v>
      </c>
      <c r="M579">
        <v>79903.97438</v>
      </c>
      <c r="N579">
        <v>2244</v>
      </c>
      <c r="O579">
        <v>7006</v>
      </c>
      <c r="P579" t="s">
        <v>36</v>
      </c>
      <c r="Q579">
        <v>0.26960784313725489</v>
      </c>
      <c r="R579" t="s">
        <v>37</v>
      </c>
      <c r="S579">
        <v>14.809388628099175</v>
      </c>
      <c r="T579">
        <v>0.32029688838138737</v>
      </c>
      <c r="U579" t="s">
        <v>34</v>
      </c>
      <c r="V579">
        <v>0</v>
      </c>
    </row>
    <row r="580" spans="1:22" x14ac:dyDescent="0.3">
      <c r="A580" s="1">
        <v>45548</v>
      </c>
      <c r="B580" t="s">
        <v>38</v>
      </c>
      <c r="C580" t="s">
        <v>31</v>
      </c>
      <c r="D580" t="s">
        <v>46</v>
      </c>
      <c r="E580" t="s">
        <v>45</v>
      </c>
      <c r="F580" t="s">
        <v>26</v>
      </c>
      <c r="G580">
        <v>544</v>
      </c>
      <c r="H580">
        <v>2429</v>
      </c>
      <c r="I580">
        <v>13797.613300000001</v>
      </c>
      <c r="J580" t="b">
        <v>1</v>
      </c>
      <c r="K580">
        <v>26</v>
      </c>
      <c r="L580" t="b">
        <v>0</v>
      </c>
      <c r="M580">
        <v>41955.311869999998</v>
      </c>
      <c r="N580">
        <v>2662</v>
      </c>
      <c r="O580">
        <v>7296</v>
      </c>
      <c r="P580" t="s">
        <v>36</v>
      </c>
      <c r="Q580">
        <v>0.20435762584522915</v>
      </c>
      <c r="R580" t="s">
        <v>37</v>
      </c>
      <c r="S580">
        <v>25.36325974264706</v>
      </c>
      <c r="T580">
        <v>0.36485745614035087</v>
      </c>
      <c r="U580" t="s">
        <v>34</v>
      </c>
      <c r="V580">
        <v>0</v>
      </c>
    </row>
    <row r="581" spans="1:22" x14ac:dyDescent="0.3">
      <c r="A581" s="1">
        <v>45547</v>
      </c>
      <c r="B581" t="s">
        <v>42</v>
      </c>
      <c r="C581" t="s">
        <v>31</v>
      </c>
      <c r="D581" t="s">
        <v>46</v>
      </c>
      <c r="E581" t="s">
        <v>25</v>
      </c>
      <c r="F581" t="s">
        <v>26</v>
      </c>
      <c r="G581">
        <v>359</v>
      </c>
      <c r="H581">
        <v>2895</v>
      </c>
      <c r="I581">
        <v>14206.952079999999</v>
      </c>
      <c r="J581" t="b">
        <v>1</v>
      </c>
      <c r="K581">
        <v>20</v>
      </c>
      <c r="L581" t="b">
        <v>0</v>
      </c>
      <c r="M581">
        <v>37573.83986</v>
      </c>
      <c r="N581">
        <v>2826</v>
      </c>
      <c r="O581">
        <v>7450</v>
      </c>
      <c r="P581" t="s">
        <v>27</v>
      </c>
      <c r="Q581">
        <v>0.12703467799009199</v>
      </c>
      <c r="R581" t="s">
        <v>37</v>
      </c>
      <c r="S581">
        <v>39.573682674094705</v>
      </c>
      <c r="T581">
        <v>0.3793288590604027</v>
      </c>
      <c r="U581" t="s">
        <v>34</v>
      </c>
      <c r="V581">
        <v>0</v>
      </c>
    </row>
    <row r="582" spans="1:22" x14ac:dyDescent="0.3">
      <c r="A582" s="1">
        <v>45546</v>
      </c>
      <c r="B582" t="s">
        <v>30</v>
      </c>
      <c r="C582" t="s">
        <v>31</v>
      </c>
      <c r="D582" t="s">
        <v>35</v>
      </c>
      <c r="E582" t="s">
        <v>45</v>
      </c>
      <c r="F582" t="s">
        <v>26</v>
      </c>
      <c r="G582">
        <v>730</v>
      </c>
      <c r="H582">
        <v>2757</v>
      </c>
      <c r="I582">
        <v>10980.1458</v>
      </c>
      <c r="J582" t="b">
        <v>1</v>
      </c>
      <c r="K582">
        <v>16</v>
      </c>
      <c r="L582" t="b">
        <v>0</v>
      </c>
      <c r="M582">
        <v>115141.1253</v>
      </c>
      <c r="N582">
        <v>2899</v>
      </c>
      <c r="O582">
        <v>5050</v>
      </c>
      <c r="P582" t="s">
        <v>36</v>
      </c>
      <c r="Q582">
        <v>0.25181096929975855</v>
      </c>
      <c r="R582" t="s">
        <v>37</v>
      </c>
      <c r="S582">
        <v>15.041295616438356</v>
      </c>
      <c r="T582">
        <v>0.57405940594059401</v>
      </c>
      <c r="U582" t="s">
        <v>29</v>
      </c>
      <c r="V582">
        <v>0</v>
      </c>
    </row>
    <row r="583" spans="1:22" x14ac:dyDescent="0.3">
      <c r="A583" s="1">
        <v>45545</v>
      </c>
      <c r="B583" t="s">
        <v>30</v>
      </c>
      <c r="C583" t="s">
        <v>44</v>
      </c>
      <c r="D583" t="s">
        <v>32</v>
      </c>
      <c r="E583" t="s">
        <v>33</v>
      </c>
      <c r="F583" t="s">
        <v>26</v>
      </c>
      <c r="G583">
        <v>450</v>
      </c>
      <c r="H583">
        <v>3041</v>
      </c>
      <c r="I583">
        <v>4648.3038690000003</v>
      </c>
      <c r="J583" t="b">
        <v>1</v>
      </c>
      <c r="K583">
        <v>17</v>
      </c>
      <c r="L583" t="b">
        <v>0</v>
      </c>
      <c r="M583">
        <v>32058.625749999999</v>
      </c>
      <c r="N583">
        <v>2446</v>
      </c>
      <c r="O583">
        <v>8256</v>
      </c>
      <c r="P583" t="s">
        <v>27</v>
      </c>
      <c r="Q583">
        <v>0.18397383483237939</v>
      </c>
      <c r="R583" t="s">
        <v>37</v>
      </c>
      <c r="S583">
        <v>10.329564153333335</v>
      </c>
      <c r="T583">
        <v>0.29626937984496127</v>
      </c>
      <c r="U583" t="s">
        <v>34</v>
      </c>
      <c r="V583">
        <v>0</v>
      </c>
    </row>
    <row r="584" spans="1:22" x14ac:dyDescent="0.3">
      <c r="A584" s="1">
        <v>45544</v>
      </c>
      <c r="B584" t="s">
        <v>42</v>
      </c>
      <c r="C584" t="s">
        <v>31</v>
      </c>
      <c r="D584" t="s">
        <v>35</v>
      </c>
      <c r="E584" t="s">
        <v>25</v>
      </c>
      <c r="F584" t="s">
        <v>26</v>
      </c>
      <c r="G584">
        <v>605</v>
      </c>
      <c r="H584">
        <v>1851</v>
      </c>
      <c r="I584">
        <v>7594.5492850000001</v>
      </c>
      <c r="J584" t="b">
        <v>0</v>
      </c>
      <c r="K584">
        <v>12</v>
      </c>
      <c r="L584" t="b">
        <v>0</v>
      </c>
      <c r="M584">
        <v>34016.164700000001</v>
      </c>
      <c r="N584">
        <v>2806</v>
      </c>
      <c r="O584">
        <v>5304</v>
      </c>
      <c r="P584" t="s">
        <v>36</v>
      </c>
      <c r="Q584">
        <v>0.21560940841054882</v>
      </c>
      <c r="R584" t="s">
        <v>28</v>
      </c>
      <c r="S584">
        <v>12.552974024793388</v>
      </c>
      <c r="T584">
        <v>0.52903469079939669</v>
      </c>
      <c r="U584" t="s">
        <v>29</v>
      </c>
      <c r="V584">
        <v>0</v>
      </c>
    </row>
    <row r="585" spans="1:22" x14ac:dyDescent="0.3">
      <c r="A585" s="1">
        <v>45543</v>
      </c>
      <c r="B585" t="s">
        <v>22</v>
      </c>
      <c r="C585" t="s">
        <v>44</v>
      </c>
      <c r="D585" t="s">
        <v>35</v>
      </c>
      <c r="E585" t="s">
        <v>25</v>
      </c>
      <c r="F585" t="s">
        <v>43</v>
      </c>
      <c r="G585">
        <v>576</v>
      </c>
      <c r="H585">
        <v>3761</v>
      </c>
      <c r="I585">
        <v>3944.6202109999999</v>
      </c>
      <c r="J585" t="b">
        <v>1</v>
      </c>
      <c r="K585">
        <v>28</v>
      </c>
      <c r="L585" t="b">
        <v>0</v>
      </c>
      <c r="M585">
        <v>66611.491030000005</v>
      </c>
      <c r="N585">
        <v>2208</v>
      </c>
      <c r="O585">
        <v>6673</v>
      </c>
      <c r="P585" t="s">
        <v>27</v>
      </c>
      <c r="Q585">
        <v>0.2608695652173913</v>
      </c>
      <c r="R585" t="s">
        <v>37</v>
      </c>
      <c r="S585">
        <v>6.8482989774305558</v>
      </c>
      <c r="T585">
        <v>0.33088565862430691</v>
      </c>
      <c r="U585" t="s">
        <v>34</v>
      </c>
      <c r="V585">
        <v>0</v>
      </c>
    </row>
    <row r="586" spans="1:22" x14ac:dyDescent="0.3">
      <c r="A586" s="1">
        <v>45542</v>
      </c>
      <c r="B586" t="s">
        <v>30</v>
      </c>
      <c r="C586" t="s">
        <v>31</v>
      </c>
      <c r="D586" t="s">
        <v>32</v>
      </c>
      <c r="E586" t="s">
        <v>25</v>
      </c>
      <c r="F586" t="s">
        <v>26</v>
      </c>
      <c r="G586">
        <v>849</v>
      </c>
      <c r="H586">
        <v>655</v>
      </c>
      <c r="I586">
        <v>10128.47898</v>
      </c>
      <c r="J586" t="b">
        <v>1</v>
      </c>
      <c r="K586">
        <v>29</v>
      </c>
      <c r="L586" t="b">
        <v>0</v>
      </c>
      <c r="M586">
        <v>92179.926219999994</v>
      </c>
      <c r="N586">
        <v>2790</v>
      </c>
      <c r="O586">
        <v>6055</v>
      </c>
      <c r="P586" t="s">
        <v>36</v>
      </c>
      <c r="Q586">
        <v>0.30430107526881722</v>
      </c>
      <c r="R586" t="s">
        <v>37</v>
      </c>
      <c r="S586">
        <v>11.929892791519434</v>
      </c>
      <c r="T586">
        <v>0.46077621800165153</v>
      </c>
      <c r="U586" t="s">
        <v>29</v>
      </c>
      <c r="V586">
        <v>0</v>
      </c>
    </row>
    <row r="587" spans="1:22" x14ac:dyDescent="0.3">
      <c r="A587" s="1">
        <v>45541</v>
      </c>
      <c r="B587" t="s">
        <v>38</v>
      </c>
      <c r="C587" t="s">
        <v>23</v>
      </c>
      <c r="D587" t="s">
        <v>32</v>
      </c>
      <c r="E587" t="s">
        <v>33</v>
      </c>
      <c r="F587" t="s">
        <v>26</v>
      </c>
      <c r="G587">
        <v>607</v>
      </c>
      <c r="H587">
        <v>4925</v>
      </c>
      <c r="I587">
        <v>1611.024829</v>
      </c>
      <c r="J587" t="b">
        <v>0</v>
      </c>
      <c r="K587">
        <v>5</v>
      </c>
      <c r="L587" t="b">
        <v>1</v>
      </c>
      <c r="M587">
        <v>13017.561449999999</v>
      </c>
      <c r="N587">
        <v>3094</v>
      </c>
      <c r="O587">
        <v>8499</v>
      </c>
      <c r="P587" t="s">
        <v>27</v>
      </c>
      <c r="Q587">
        <v>0.19618616677440207</v>
      </c>
      <c r="R587" t="s">
        <v>40</v>
      </c>
      <c r="S587">
        <v>2.654077148270181</v>
      </c>
      <c r="T587">
        <v>0.36404282856806686</v>
      </c>
      <c r="U587" t="s">
        <v>34</v>
      </c>
      <c r="V587">
        <v>1</v>
      </c>
    </row>
    <row r="588" spans="1:22" x14ac:dyDescent="0.3">
      <c r="A588" s="1">
        <v>45540</v>
      </c>
      <c r="B588" t="s">
        <v>38</v>
      </c>
      <c r="C588" t="s">
        <v>41</v>
      </c>
      <c r="D588" t="s">
        <v>35</v>
      </c>
      <c r="E588" t="s">
        <v>25</v>
      </c>
      <c r="F588" t="s">
        <v>26</v>
      </c>
      <c r="G588">
        <v>760</v>
      </c>
      <c r="H588">
        <v>1263</v>
      </c>
      <c r="I588">
        <v>11099.65006</v>
      </c>
      <c r="J588" t="b">
        <v>0</v>
      </c>
      <c r="K588">
        <v>16</v>
      </c>
      <c r="L588" t="b">
        <v>0</v>
      </c>
      <c r="M588">
        <v>46274.085359999997</v>
      </c>
      <c r="N588">
        <v>2360</v>
      </c>
      <c r="O588">
        <v>6229</v>
      </c>
      <c r="P588" t="s">
        <v>36</v>
      </c>
      <c r="Q588">
        <v>0.32203389830508472</v>
      </c>
      <c r="R588" t="s">
        <v>37</v>
      </c>
      <c r="S588">
        <v>14.604802710526316</v>
      </c>
      <c r="T588">
        <v>0.37887301332477125</v>
      </c>
      <c r="U588" t="s">
        <v>34</v>
      </c>
      <c r="V588">
        <v>0</v>
      </c>
    </row>
    <row r="589" spans="1:22" x14ac:dyDescent="0.3">
      <c r="A589" s="1">
        <v>45539</v>
      </c>
      <c r="B589" t="s">
        <v>42</v>
      </c>
      <c r="C589" t="s">
        <v>31</v>
      </c>
      <c r="D589" t="s">
        <v>24</v>
      </c>
      <c r="E589" t="s">
        <v>25</v>
      </c>
      <c r="F589" t="s">
        <v>26</v>
      </c>
      <c r="G589">
        <v>366</v>
      </c>
      <c r="H589">
        <v>3457</v>
      </c>
      <c r="I589">
        <v>4501.2580079999998</v>
      </c>
      <c r="J589" t="b">
        <v>1</v>
      </c>
      <c r="K589">
        <v>24</v>
      </c>
      <c r="L589" t="b">
        <v>0</v>
      </c>
      <c r="M589">
        <v>64864.412510000002</v>
      </c>
      <c r="N589">
        <v>4136</v>
      </c>
      <c r="O589">
        <v>6859</v>
      </c>
      <c r="P589" t="s">
        <v>36</v>
      </c>
      <c r="Q589">
        <v>8.8491295938104453E-2</v>
      </c>
      <c r="R589" t="s">
        <v>37</v>
      </c>
      <c r="S589">
        <v>12.298519147540983</v>
      </c>
      <c r="T589">
        <v>0.60300335325849252</v>
      </c>
      <c r="U589" t="s">
        <v>29</v>
      </c>
      <c r="V589">
        <v>0</v>
      </c>
    </row>
    <row r="590" spans="1:22" x14ac:dyDescent="0.3">
      <c r="A590" s="1">
        <v>45538</v>
      </c>
      <c r="B590" t="s">
        <v>38</v>
      </c>
      <c r="C590" t="s">
        <v>41</v>
      </c>
      <c r="D590" t="s">
        <v>32</v>
      </c>
      <c r="E590" t="s">
        <v>25</v>
      </c>
      <c r="F590" t="s">
        <v>26</v>
      </c>
      <c r="G590">
        <v>191</v>
      </c>
      <c r="H590">
        <v>4815</v>
      </c>
      <c r="I590">
        <v>7713.98819</v>
      </c>
      <c r="J590" t="b">
        <v>1</v>
      </c>
      <c r="K590">
        <v>7</v>
      </c>
      <c r="L590" t="b">
        <v>0</v>
      </c>
      <c r="M590">
        <v>37342.869559999999</v>
      </c>
      <c r="N590">
        <v>2656</v>
      </c>
      <c r="O590">
        <v>9897</v>
      </c>
      <c r="P590" t="s">
        <v>27</v>
      </c>
      <c r="Q590">
        <v>7.1912650602409645E-2</v>
      </c>
      <c r="R590" t="s">
        <v>40</v>
      </c>
      <c r="S590">
        <v>40.387372722513092</v>
      </c>
      <c r="T590">
        <v>0.26836415075275338</v>
      </c>
      <c r="U590" t="s">
        <v>34</v>
      </c>
      <c r="V590">
        <v>0</v>
      </c>
    </row>
    <row r="591" spans="1:22" x14ac:dyDescent="0.3">
      <c r="A591" s="1">
        <v>45537</v>
      </c>
      <c r="B591" t="s">
        <v>22</v>
      </c>
      <c r="C591" t="s">
        <v>44</v>
      </c>
      <c r="D591" t="s">
        <v>46</v>
      </c>
      <c r="E591" t="s">
        <v>33</v>
      </c>
      <c r="F591" t="s">
        <v>43</v>
      </c>
      <c r="G591">
        <v>648</v>
      </c>
      <c r="H591">
        <v>497</v>
      </c>
      <c r="I591">
        <v>3174.3102629999998</v>
      </c>
      <c r="J591" t="b">
        <v>1</v>
      </c>
      <c r="K591">
        <v>20</v>
      </c>
      <c r="L591" t="b">
        <v>0</v>
      </c>
      <c r="M591">
        <v>109715.4945</v>
      </c>
      <c r="N591">
        <v>1067</v>
      </c>
      <c r="O591">
        <v>6696</v>
      </c>
      <c r="P591" t="s">
        <v>36</v>
      </c>
      <c r="Q591">
        <v>0.6073102155576382</v>
      </c>
      <c r="R591" t="s">
        <v>37</v>
      </c>
      <c r="S591">
        <v>4.8986269490740737</v>
      </c>
      <c r="T591">
        <v>0.15934886499402628</v>
      </c>
      <c r="U591" t="s">
        <v>34</v>
      </c>
      <c r="V591">
        <v>0</v>
      </c>
    </row>
    <row r="592" spans="1:22" x14ac:dyDescent="0.3">
      <c r="A592" s="1">
        <v>45536</v>
      </c>
      <c r="B592" t="s">
        <v>42</v>
      </c>
      <c r="C592" t="s">
        <v>44</v>
      </c>
      <c r="D592" t="s">
        <v>24</v>
      </c>
      <c r="E592" t="s">
        <v>33</v>
      </c>
      <c r="F592" t="s">
        <v>43</v>
      </c>
      <c r="G592">
        <v>386</v>
      </c>
      <c r="H592">
        <v>1637</v>
      </c>
      <c r="I592">
        <v>4532.6264300000003</v>
      </c>
      <c r="J592" t="b">
        <v>1</v>
      </c>
      <c r="K592">
        <v>10</v>
      </c>
      <c r="L592" t="b">
        <v>1</v>
      </c>
      <c r="M592">
        <v>39366.136939999997</v>
      </c>
      <c r="N592">
        <v>2121.5</v>
      </c>
      <c r="O592">
        <v>7568</v>
      </c>
      <c r="P592" t="s">
        <v>36</v>
      </c>
      <c r="Q592">
        <v>0.1819467358001414</v>
      </c>
      <c r="R592" t="s">
        <v>28</v>
      </c>
      <c r="S592">
        <v>11.742555518134715</v>
      </c>
      <c r="T592">
        <v>0.28032505285412262</v>
      </c>
      <c r="U592" t="s">
        <v>34</v>
      </c>
      <c r="V592">
        <v>1</v>
      </c>
    </row>
    <row r="593" spans="1:22" x14ac:dyDescent="0.3">
      <c r="A593" s="1">
        <v>45535</v>
      </c>
      <c r="B593" t="s">
        <v>42</v>
      </c>
      <c r="C593" t="s">
        <v>23</v>
      </c>
      <c r="D593" t="s">
        <v>32</v>
      </c>
      <c r="E593" t="s">
        <v>45</v>
      </c>
      <c r="F593" t="s">
        <v>26</v>
      </c>
      <c r="G593">
        <v>961</v>
      </c>
      <c r="H593">
        <v>2606</v>
      </c>
      <c r="I593">
        <v>5267.0218500000001</v>
      </c>
      <c r="J593" t="b">
        <v>1</v>
      </c>
      <c r="K593">
        <v>7</v>
      </c>
      <c r="L593" t="b">
        <v>0</v>
      </c>
      <c r="M593">
        <v>186753.47510000001</v>
      </c>
      <c r="N593">
        <v>3349.5</v>
      </c>
      <c r="O593">
        <v>9777</v>
      </c>
      <c r="P593" t="s">
        <v>36</v>
      </c>
      <c r="Q593">
        <v>0.28690849380504552</v>
      </c>
      <c r="R593" t="s">
        <v>40</v>
      </c>
      <c r="S593">
        <v>5.4807719562955253</v>
      </c>
      <c r="T593">
        <v>0.34258975145750231</v>
      </c>
      <c r="U593" t="s">
        <v>34</v>
      </c>
      <c r="V593">
        <v>0</v>
      </c>
    </row>
    <row r="594" spans="1:22" x14ac:dyDescent="0.3">
      <c r="A594" s="1">
        <v>45534</v>
      </c>
      <c r="B594" t="s">
        <v>42</v>
      </c>
      <c r="C594" t="s">
        <v>41</v>
      </c>
      <c r="D594" t="s">
        <v>24</v>
      </c>
      <c r="E594" t="s">
        <v>45</v>
      </c>
      <c r="F594" t="s">
        <v>26</v>
      </c>
      <c r="G594">
        <v>445</v>
      </c>
      <c r="H594">
        <v>4093</v>
      </c>
      <c r="I594">
        <v>10249.246940000001</v>
      </c>
      <c r="J594" t="b">
        <v>1</v>
      </c>
      <c r="K594">
        <v>2</v>
      </c>
      <c r="L594" t="b">
        <v>0</v>
      </c>
      <c r="M594">
        <v>68134.226739999998</v>
      </c>
      <c r="N594">
        <v>4014.5</v>
      </c>
      <c r="O594">
        <v>8362</v>
      </c>
      <c r="P594" t="s">
        <v>27</v>
      </c>
      <c r="Q594">
        <v>0.1108481753643044</v>
      </c>
      <c r="R594" t="s">
        <v>40</v>
      </c>
      <c r="S594">
        <v>23.032015595505619</v>
      </c>
      <c r="T594">
        <v>0.48008849557522126</v>
      </c>
      <c r="U594" t="s">
        <v>29</v>
      </c>
      <c r="V594">
        <v>0</v>
      </c>
    </row>
    <row r="595" spans="1:22" x14ac:dyDescent="0.3">
      <c r="A595" s="1">
        <v>45533</v>
      </c>
      <c r="B595" t="s">
        <v>30</v>
      </c>
      <c r="C595" t="s">
        <v>23</v>
      </c>
      <c r="D595" t="s">
        <v>46</v>
      </c>
      <c r="E595" t="s">
        <v>25</v>
      </c>
      <c r="F595" t="s">
        <v>26</v>
      </c>
      <c r="G595">
        <v>759</v>
      </c>
      <c r="H595">
        <v>3936</v>
      </c>
      <c r="I595">
        <v>4828.1499219999996</v>
      </c>
      <c r="J595" t="b">
        <v>1</v>
      </c>
      <c r="K595">
        <v>25</v>
      </c>
      <c r="L595" t="b">
        <v>0</v>
      </c>
      <c r="M595">
        <v>70162.054810000001</v>
      </c>
      <c r="N595">
        <v>2051.5</v>
      </c>
      <c r="O595">
        <v>7710</v>
      </c>
      <c r="P595" t="s">
        <v>27</v>
      </c>
      <c r="Q595">
        <v>0.36997319034852549</v>
      </c>
      <c r="R595" t="s">
        <v>37</v>
      </c>
      <c r="S595">
        <v>6.3611988432147557</v>
      </c>
      <c r="T595">
        <v>0.26608300907911803</v>
      </c>
      <c r="U595" t="s">
        <v>34</v>
      </c>
      <c r="V595">
        <v>0</v>
      </c>
    </row>
    <row r="596" spans="1:22" x14ac:dyDescent="0.3">
      <c r="A596" s="1">
        <v>45532</v>
      </c>
      <c r="B596" t="s">
        <v>30</v>
      </c>
      <c r="C596" t="s">
        <v>31</v>
      </c>
      <c r="D596" t="s">
        <v>24</v>
      </c>
      <c r="E596" t="s">
        <v>45</v>
      </c>
      <c r="F596" t="s">
        <v>26</v>
      </c>
      <c r="G596">
        <v>767</v>
      </c>
      <c r="H596">
        <v>167</v>
      </c>
      <c r="I596">
        <v>1689.1557479999999</v>
      </c>
      <c r="J596" t="b">
        <v>0</v>
      </c>
      <c r="K596">
        <v>1</v>
      </c>
      <c r="L596" t="b">
        <v>0</v>
      </c>
      <c r="M596">
        <v>54937.350980000003</v>
      </c>
      <c r="N596">
        <v>1638.5</v>
      </c>
      <c r="O596">
        <v>5715</v>
      </c>
      <c r="P596" t="s">
        <v>36</v>
      </c>
      <c r="Q596">
        <v>0.46811107720476047</v>
      </c>
      <c r="R596" t="s">
        <v>40</v>
      </c>
      <c r="S596">
        <v>2.2022891108213818</v>
      </c>
      <c r="T596">
        <v>0.2867016622922135</v>
      </c>
      <c r="U596" t="s">
        <v>34</v>
      </c>
      <c r="V596">
        <v>0</v>
      </c>
    </row>
    <row r="597" spans="1:22" x14ac:dyDescent="0.3">
      <c r="A597" s="1">
        <v>45531</v>
      </c>
      <c r="B597" t="s">
        <v>30</v>
      </c>
      <c r="C597" t="s">
        <v>41</v>
      </c>
      <c r="D597" t="s">
        <v>24</v>
      </c>
      <c r="E597" t="s">
        <v>45</v>
      </c>
      <c r="F597" t="s">
        <v>26</v>
      </c>
      <c r="G597">
        <v>792</v>
      </c>
      <c r="H597">
        <v>3110</v>
      </c>
      <c r="I597">
        <v>4710.2473380000001</v>
      </c>
      <c r="J597" t="b">
        <v>1</v>
      </c>
      <c r="K597">
        <v>17</v>
      </c>
      <c r="L597" t="b">
        <v>0</v>
      </c>
      <c r="M597">
        <v>127111.01330000001</v>
      </c>
      <c r="N597">
        <v>1966.5</v>
      </c>
      <c r="O597">
        <v>5995</v>
      </c>
      <c r="P597" t="s">
        <v>27</v>
      </c>
      <c r="Q597">
        <v>0.40274599542334094</v>
      </c>
      <c r="R597" t="s">
        <v>37</v>
      </c>
      <c r="S597">
        <v>5.9472819924242426</v>
      </c>
      <c r="T597">
        <v>0.32802335279399497</v>
      </c>
      <c r="U597" t="s">
        <v>34</v>
      </c>
      <c r="V597">
        <v>0</v>
      </c>
    </row>
    <row r="598" spans="1:22" x14ac:dyDescent="0.3">
      <c r="A598" s="1">
        <v>45530</v>
      </c>
      <c r="B598" t="s">
        <v>38</v>
      </c>
      <c r="C598" t="s">
        <v>23</v>
      </c>
      <c r="D598" t="s">
        <v>32</v>
      </c>
      <c r="E598" t="s">
        <v>25</v>
      </c>
      <c r="F598" t="s">
        <v>26</v>
      </c>
      <c r="G598">
        <v>511</v>
      </c>
      <c r="H598">
        <v>823</v>
      </c>
      <c r="I598">
        <v>13220.991169999999</v>
      </c>
      <c r="J598" t="b">
        <v>1</v>
      </c>
      <c r="K598">
        <v>14</v>
      </c>
      <c r="L598" t="b">
        <v>0</v>
      </c>
      <c r="M598">
        <v>102041.5579</v>
      </c>
      <c r="N598">
        <v>611.5</v>
      </c>
      <c r="O598">
        <v>6244</v>
      </c>
      <c r="P598" t="s">
        <v>27</v>
      </c>
      <c r="Q598">
        <v>0.83565004088307437</v>
      </c>
      <c r="R598" t="s">
        <v>28</v>
      </c>
      <c r="S598">
        <v>25.872781154598826</v>
      </c>
      <c r="T598">
        <v>9.7934016655989747E-2</v>
      </c>
      <c r="U598" t="s">
        <v>34</v>
      </c>
      <c r="V598">
        <v>0</v>
      </c>
    </row>
    <row r="599" spans="1:22" x14ac:dyDescent="0.3">
      <c r="A599" s="1">
        <v>45529</v>
      </c>
      <c r="B599" t="s">
        <v>42</v>
      </c>
      <c r="C599" t="s">
        <v>31</v>
      </c>
      <c r="D599" t="s">
        <v>46</v>
      </c>
      <c r="E599" t="s">
        <v>45</v>
      </c>
      <c r="F599" t="s">
        <v>26</v>
      </c>
      <c r="G599">
        <v>804</v>
      </c>
      <c r="H599">
        <v>400</v>
      </c>
      <c r="I599">
        <v>10498.954449999999</v>
      </c>
      <c r="J599" t="b">
        <v>1</v>
      </c>
      <c r="K599">
        <v>26</v>
      </c>
      <c r="L599" t="b">
        <v>0</v>
      </c>
      <c r="M599">
        <v>148799.5569</v>
      </c>
      <c r="N599">
        <v>1846</v>
      </c>
      <c r="O599">
        <v>7302</v>
      </c>
      <c r="P599" t="s">
        <v>36</v>
      </c>
      <c r="Q599">
        <v>0.43553629469122429</v>
      </c>
      <c r="R599" t="s">
        <v>37</v>
      </c>
      <c r="S599">
        <v>13.05840105721393</v>
      </c>
      <c r="T599">
        <v>0.25280745001369487</v>
      </c>
      <c r="U599" t="s">
        <v>34</v>
      </c>
      <c r="V599">
        <v>0</v>
      </c>
    </row>
    <row r="600" spans="1:22" x14ac:dyDescent="0.3">
      <c r="A600" s="1">
        <v>45528</v>
      </c>
      <c r="B600" t="s">
        <v>42</v>
      </c>
      <c r="C600" t="s">
        <v>41</v>
      </c>
      <c r="D600" t="s">
        <v>46</v>
      </c>
      <c r="E600" t="s">
        <v>33</v>
      </c>
      <c r="F600" t="s">
        <v>26</v>
      </c>
      <c r="G600">
        <v>153</v>
      </c>
      <c r="H600">
        <v>3292</v>
      </c>
      <c r="I600">
        <v>3551.6652469999999</v>
      </c>
      <c r="J600" t="b">
        <v>1</v>
      </c>
      <c r="K600">
        <v>5</v>
      </c>
      <c r="L600" t="b">
        <v>0</v>
      </c>
      <c r="M600">
        <v>7107.2895790000002</v>
      </c>
      <c r="N600">
        <v>4012.5</v>
      </c>
      <c r="O600">
        <v>8091</v>
      </c>
      <c r="P600" t="s">
        <v>36</v>
      </c>
      <c r="Q600">
        <v>3.8130841121495326E-2</v>
      </c>
      <c r="R600" t="s">
        <v>40</v>
      </c>
      <c r="S600">
        <v>23.213498346405228</v>
      </c>
      <c r="T600">
        <v>0.49592139414163888</v>
      </c>
      <c r="U600" t="s">
        <v>29</v>
      </c>
      <c r="V600">
        <v>0</v>
      </c>
    </row>
    <row r="601" spans="1:22" x14ac:dyDescent="0.3">
      <c r="A601" s="1">
        <v>45527</v>
      </c>
      <c r="B601" t="s">
        <v>22</v>
      </c>
      <c r="C601" t="s">
        <v>31</v>
      </c>
      <c r="D601" t="s">
        <v>32</v>
      </c>
      <c r="E601" t="s">
        <v>45</v>
      </c>
      <c r="F601" t="s">
        <v>26</v>
      </c>
      <c r="G601">
        <v>710</v>
      </c>
      <c r="H601">
        <v>4733</v>
      </c>
      <c r="I601">
        <v>6986.5829610000001</v>
      </c>
      <c r="J601" t="b">
        <v>1</v>
      </c>
      <c r="K601">
        <v>10</v>
      </c>
      <c r="L601" t="b">
        <v>0</v>
      </c>
      <c r="M601">
        <v>19048.516390000001</v>
      </c>
      <c r="N601">
        <v>4563.5</v>
      </c>
      <c r="O601">
        <v>7181</v>
      </c>
      <c r="P601" t="s">
        <v>27</v>
      </c>
      <c r="Q601">
        <v>0.15558233811767283</v>
      </c>
      <c r="R601" t="s">
        <v>28</v>
      </c>
      <c r="S601">
        <v>9.8402576915492954</v>
      </c>
      <c r="T601">
        <v>0.63549644896253998</v>
      </c>
      <c r="U601" t="s">
        <v>29</v>
      </c>
      <c r="V601">
        <v>0</v>
      </c>
    </row>
    <row r="602" spans="1:22" x14ac:dyDescent="0.3">
      <c r="A602" s="1">
        <v>45526</v>
      </c>
      <c r="B602" t="s">
        <v>38</v>
      </c>
      <c r="C602" t="s">
        <v>41</v>
      </c>
      <c r="D602" t="s">
        <v>32</v>
      </c>
      <c r="E602" t="s">
        <v>25</v>
      </c>
      <c r="F602" t="s">
        <v>26</v>
      </c>
      <c r="G602">
        <v>501</v>
      </c>
      <c r="H602">
        <v>4394</v>
      </c>
      <c r="I602">
        <v>2972.8017089999998</v>
      </c>
      <c r="J602" t="b">
        <v>1</v>
      </c>
      <c r="K602">
        <v>13</v>
      </c>
      <c r="L602" t="b">
        <v>0</v>
      </c>
      <c r="M602">
        <v>40105.390870000003</v>
      </c>
      <c r="N602">
        <v>2925.5</v>
      </c>
      <c r="O602">
        <v>8978</v>
      </c>
      <c r="P602" t="s">
        <v>27</v>
      </c>
      <c r="Q602">
        <v>0.17125277730302513</v>
      </c>
      <c r="R602" t="s">
        <v>28</v>
      </c>
      <c r="S602">
        <v>5.9337359461077845</v>
      </c>
      <c r="T602">
        <v>0.32585208286923589</v>
      </c>
      <c r="U602" t="s">
        <v>34</v>
      </c>
      <c r="V602">
        <v>0</v>
      </c>
    </row>
    <row r="603" spans="1:22" x14ac:dyDescent="0.3">
      <c r="A603" s="1">
        <v>45525</v>
      </c>
      <c r="B603" t="s">
        <v>42</v>
      </c>
      <c r="C603" t="s">
        <v>31</v>
      </c>
      <c r="D603" t="s">
        <v>46</v>
      </c>
      <c r="E603" t="s">
        <v>25</v>
      </c>
      <c r="F603" t="s">
        <v>43</v>
      </c>
      <c r="G603">
        <v>748</v>
      </c>
      <c r="H603">
        <v>1457</v>
      </c>
      <c r="I603">
        <v>11787.2119</v>
      </c>
      <c r="J603" t="b">
        <v>1</v>
      </c>
      <c r="K603">
        <v>5</v>
      </c>
      <c r="L603" t="b">
        <v>0</v>
      </c>
      <c r="M603">
        <v>62596.013120000003</v>
      </c>
      <c r="N603">
        <v>2871</v>
      </c>
      <c r="O603">
        <v>5983</v>
      </c>
      <c r="P603" t="s">
        <v>36</v>
      </c>
      <c r="Q603">
        <v>0.26053639846743293</v>
      </c>
      <c r="R603" t="s">
        <v>40</v>
      </c>
      <c r="S603">
        <v>15.758304679144386</v>
      </c>
      <c r="T603">
        <v>0.47985960220625107</v>
      </c>
      <c r="U603" t="s">
        <v>29</v>
      </c>
      <c r="V603">
        <v>0</v>
      </c>
    </row>
    <row r="604" spans="1:22" x14ac:dyDescent="0.3">
      <c r="A604" s="1">
        <v>45524</v>
      </c>
      <c r="B604" t="s">
        <v>30</v>
      </c>
      <c r="C604" t="s">
        <v>44</v>
      </c>
      <c r="D604" t="s">
        <v>24</v>
      </c>
      <c r="E604" t="s">
        <v>45</v>
      </c>
      <c r="F604" t="s">
        <v>43</v>
      </c>
      <c r="G604">
        <v>449</v>
      </c>
      <c r="H604">
        <v>4285</v>
      </c>
      <c r="I604">
        <v>2040.8556189999999</v>
      </c>
      <c r="J604" t="b">
        <v>1</v>
      </c>
      <c r="K604">
        <v>18</v>
      </c>
      <c r="L604" t="b">
        <v>0</v>
      </c>
      <c r="M604">
        <v>58558.663090000002</v>
      </c>
      <c r="N604">
        <v>3549</v>
      </c>
      <c r="O604">
        <v>9469</v>
      </c>
      <c r="P604" t="s">
        <v>27</v>
      </c>
      <c r="Q604">
        <v>0.12651451112989576</v>
      </c>
      <c r="R604" t="s">
        <v>37</v>
      </c>
      <c r="S604">
        <v>4.5453354543429842</v>
      </c>
      <c r="T604">
        <v>0.37480198542612736</v>
      </c>
      <c r="U604" t="s">
        <v>34</v>
      </c>
      <c r="V604">
        <v>0</v>
      </c>
    </row>
    <row r="605" spans="1:22" x14ac:dyDescent="0.3">
      <c r="A605" s="1">
        <v>45523</v>
      </c>
      <c r="B605" t="s">
        <v>22</v>
      </c>
      <c r="C605" t="s">
        <v>31</v>
      </c>
      <c r="D605" t="s">
        <v>35</v>
      </c>
      <c r="E605" t="s">
        <v>33</v>
      </c>
      <c r="F605" t="s">
        <v>43</v>
      </c>
      <c r="G605">
        <v>172</v>
      </c>
      <c r="H605">
        <v>2813</v>
      </c>
      <c r="I605">
        <v>11710.93153</v>
      </c>
      <c r="J605" t="b">
        <v>1</v>
      </c>
      <c r="K605">
        <v>1</v>
      </c>
      <c r="L605" t="b">
        <v>0</v>
      </c>
      <c r="M605">
        <v>12421.256520000001</v>
      </c>
      <c r="N605">
        <v>2135</v>
      </c>
      <c r="O605">
        <v>7884</v>
      </c>
      <c r="P605" t="s">
        <v>27</v>
      </c>
      <c r="Q605">
        <v>8.0562060889929746E-2</v>
      </c>
      <c r="R605" t="s">
        <v>40</v>
      </c>
      <c r="S605">
        <v>68.08681122093023</v>
      </c>
      <c r="T605">
        <v>0.27080162354134957</v>
      </c>
      <c r="U605" t="s">
        <v>34</v>
      </c>
      <c r="V605">
        <v>0</v>
      </c>
    </row>
    <row r="606" spans="1:22" x14ac:dyDescent="0.3">
      <c r="A606" s="1">
        <v>45522</v>
      </c>
      <c r="B606" t="s">
        <v>42</v>
      </c>
      <c r="C606" t="s">
        <v>44</v>
      </c>
      <c r="D606" t="s">
        <v>24</v>
      </c>
      <c r="E606" t="s">
        <v>45</v>
      </c>
      <c r="F606" t="s">
        <v>26</v>
      </c>
      <c r="G606">
        <v>926</v>
      </c>
      <c r="H606">
        <v>1457</v>
      </c>
      <c r="I606">
        <v>14685.796710000001</v>
      </c>
      <c r="J606" t="b">
        <v>1</v>
      </c>
      <c r="K606">
        <v>3</v>
      </c>
      <c r="L606" t="b">
        <v>0</v>
      </c>
      <c r="M606">
        <v>110317.8901</v>
      </c>
      <c r="N606">
        <v>2430.5</v>
      </c>
      <c r="O606">
        <v>7109</v>
      </c>
      <c r="P606" t="s">
        <v>36</v>
      </c>
      <c r="Q606">
        <v>0.38099156552149765</v>
      </c>
      <c r="R606" t="s">
        <v>40</v>
      </c>
      <c r="S606">
        <v>15.859391695464364</v>
      </c>
      <c r="T606">
        <v>0.34189056126037415</v>
      </c>
      <c r="U606" t="s">
        <v>34</v>
      </c>
      <c r="V606">
        <v>0</v>
      </c>
    </row>
    <row r="607" spans="1:22" x14ac:dyDescent="0.3">
      <c r="A607" s="1">
        <v>45521</v>
      </c>
      <c r="B607" t="s">
        <v>42</v>
      </c>
      <c r="C607" t="s">
        <v>23</v>
      </c>
      <c r="D607" t="s">
        <v>46</v>
      </c>
      <c r="E607" t="s">
        <v>45</v>
      </c>
      <c r="F607" t="s">
        <v>43</v>
      </c>
      <c r="G607">
        <v>529</v>
      </c>
      <c r="H607">
        <v>3404</v>
      </c>
      <c r="I607">
        <v>8582.8940239999993</v>
      </c>
      <c r="J607" t="b">
        <v>1</v>
      </c>
      <c r="K607">
        <v>27</v>
      </c>
      <c r="L607" t="b">
        <v>0</v>
      </c>
      <c r="M607">
        <v>39211.613019999997</v>
      </c>
      <c r="N607">
        <v>3323</v>
      </c>
      <c r="O607">
        <v>8288</v>
      </c>
      <c r="P607" t="s">
        <v>27</v>
      </c>
      <c r="Q607">
        <v>0.15919349984953354</v>
      </c>
      <c r="R607" t="s">
        <v>37</v>
      </c>
      <c r="S607">
        <v>16.224752408317578</v>
      </c>
      <c r="T607">
        <v>0.40094111969111967</v>
      </c>
      <c r="U607" t="s">
        <v>29</v>
      </c>
      <c r="V607">
        <v>0</v>
      </c>
    </row>
    <row r="608" spans="1:22" x14ac:dyDescent="0.3">
      <c r="A608" s="1">
        <v>45520</v>
      </c>
      <c r="B608" t="s">
        <v>42</v>
      </c>
      <c r="C608" t="s">
        <v>31</v>
      </c>
      <c r="D608" t="s">
        <v>46</v>
      </c>
      <c r="E608" t="s">
        <v>33</v>
      </c>
      <c r="F608" t="s">
        <v>26</v>
      </c>
      <c r="G608">
        <v>712</v>
      </c>
      <c r="H608">
        <v>3242</v>
      </c>
      <c r="I608">
        <v>8152.5499470000004</v>
      </c>
      <c r="J608" t="b">
        <v>1</v>
      </c>
      <c r="K608">
        <v>6</v>
      </c>
      <c r="L608" t="b">
        <v>0</v>
      </c>
      <c r="M608">
        <v>118364.38370000001</v>
      </c>
      <c r="N608">
        <v>3792.5</v>
      </c>
      <c r="O608">
        <v>5591</v>
      </c>
      <c r="P608" t="s">
        <v>36</v>
      </c>
      <c r="Q608">
        <v>0.1877389584706658</v>
      </c>
      <c r="R608" t="s">
        <v>40</v>
      </c>
      <c r="S608">
        <v>11.450210599719101</v>
      </c>
      <c r="T608">
        <v>0.67832230370237878</v>
      </c>
      <c r="U608" t="s">
        <v>29</v>
      </c>
      <c r="V608">
        <v>0</v>
      </c>
    </row>
    <row r="609" spans="1:22" x14ac:dyDescent="0.3">
      <c r="A609" s="1">
        <v>45519</v>
      </c>
      <c r="B609" t="s">
        <v>22</v>
      </c>
      <c r="C609" t="s">
        <v>31</v>
      </c>
      <c r="D609" t="s">
        <v>46</v>
      </c>
      <c r="E609" t="s">
        <v>45</v>
      </c>
      <c r="F609" t="s">
        <v>26</v>
      </c>
      <c r="G609">
        <v>244</v>
      </c>
      <c r="H609">
        <v>4343</v>
      </c>
      <c r="I609">
        <v>9266.3245989999996</v>
      </c>
      <c r="J609" t="b">
        <v>1</v>
      </c>
      <c r="K609">
        <v>11</v>
      </c>
      <c r="L609" t="b">
        <v>0</v>
      </c>
      <c r="M609">
        <v>7498.7530310000002</v>
      </c>
      <c r="N609">
        <v>3824</v>
      </c>
      <c r="O609">
        <v>7565</v>
      </c>
      <c r="P609" t="s">
        <v>27</v>
      </c>
      <c r="Q609">
        <v>6.3807531380753138E-2</v>
      </c>
      <c r="R609" t="s">
        <v>28</v>
      </c>
      <c r="S609">
        <v>37.976740159836062</v>
      </c>
      <c r="T609">
        <v>0.50548578982154657</v>
      </c>
      <c r="U609" t="s">
        <v>29</v>
      </c>
      <c r="V609">
        <v>0</v>
      </c>
    </row>
    <row r="610" spans="1:22" x14ac:dyDescent="0.3">
      <c r="A610" s="1">
        <v>45518</v>
      </c>
      <c r="B610" t="s">
        <v>42</v>
      </c>
      <c r="C610" t="s">
        <v>44</v>
      </c>
      <c r="D610" t="s">
        <v>46</v>
      </c>
      <c r="E610" t="s">
        <v>25</v>
      </c>
      <c r="F610" t="s">
        <v>26</v>
      </c>
      <c r="G610">
        <v>343</v>
      </c>
      <c r="H610">
        <v>3305</v>
      </c>
      <c r="I610">
        <v>13671.03455</v>
      </c>
      <c r="J610" t="b">
        <v>1</v>
      </c>
      <c r="K610">
        <v>16</v>
      </c>
      <c r="L610" t="b">
        <v>0</v>
      </c>
      <c r="M610">
        <v>66987.213340000002</v>
      </c>
      <c r="N610">
        <v>3993.5</v>
      </c>
      <c r="O610">
        <v>5350</v>
      </c>
      <c r="P610" t="s">
        <v>36</v>
      </c>
      <c r="Q610">
        <v>8.5889570552147243E-2</v>
      </c>
      <c r="R610" t="s">
        <v>37</v>
      </c>
      <c r="S610">
        <v>39.857243586005829</v>
      </c>
      <c r="T610">
        <v>0.74644859813084108</v>
      </c>
      <c r="U610" t="s">
        <v>29</v>
      </c>
      <c r="V610">
        <v>0</v>
      </c>
    </row>
    <row r="611" spans="1:22" x14ac:dyDescent="0.3">
      <c r="A611" s="1">
        <v>45517</v>
      </c>
      <c r="B611" t="s">
        <v>22</v>
      </c>
      <c r="C611" t="s">
        <v>41</v>
      </c>
      <c r="D611" t="s">
        <v>46</v>
      </c>
      <c r="E611" t="s">
        <v>33</v>
      </c>
      <c r="F611" t="s">
        <v>26</v>
      </c>
      <c r="G611">
        <v>579</v>
      </c>
      <c r="H611">
        <v>4682</v>
      </c>
      <c r="I611">
        <v>13807.703460000001</v>
      </c>
      <c r="J611" t="b">
        <v>1</v>
      </c>
      <c r="K611">
        <v>24</v>
      </c>
      <c r="L611" t="b">
        <v>0</v>
      </c>
      <c r="M611">
        <v>93554.130149999997</v>
      </c>
      <c r="N611">
        <v>4005</v>
      </c>
      <c r="O611">
        <v>5526</v>
      </c>
      <c r="P611" t="s">
        <v>27</v>
      </c>
      <c r="Q611">
        <v>0.14456928838951311</v>
      </c>
      <c r="R611" t="s">
        <v>37</v>
      </c>
      <c r="S611">
        <v>23.847501658031089</v>
      </c>
      <c r="T611">
        <v>0.72475570032573289</v>
      </c>
      <c r="U611" t="s">
        <v>29</v>
      </c>
      <c r="V611">
        <v>0</v>
      </c>
    </row>
    <row r="612" spans="1:22" x14ac:dyDescent="0.3">
      <c r="A612" s="1">
        <v>45516</v>
      </c>
      <c r="B612" t="s">
        <v>22</v>
      </c>
      <c r="C612" t="s">
        <v>44</v>
      </c>
      <c r="D612" t="s">
        <v>32</v>
      </c>
      <c r="E612" t="s">
        <v>45</v>
      </c>
      <c r="F612" t="s">
        <v>26</v>
      </c>
      <c r="G612">
        <v>197</v>
      </c>
      <c r="H612">
        <v>3328</v>
      </c>
      <c r="I612">
        <v>11027.889230000001</v>
      </c>
      <c r="J612" t="b">
        <v>1</v>
      </c>
      <c r="K612">
        <v>29</v>
      </c>
      <c r="L612" t="b">
        <v>0</v>
      </c>
      <c r="M612">
        <v>18921.09649</v>
      </c>
      <c r="N612">
        <v>2958.5</v>
      </c>
      <c r="O612">
        <v>7155</v>
      </c>
      <c r="P612" t="s">
        <v>27</v>
      </c>
      <c r="Q612">
        <v>6.6587797870542503E-2</v>
      </c>
      <c r="R612" t="s">
        <v>37</v>
      </c>
      <c r="S612">
        <v>55.979133147208124</v>
      </c>
      <c r="T612">
        <v>0.41348707197763801</v>
      </c>
      <c r="U612" t="s">
        <v>29</v>
      </c>
      <c r="V612">
        <v>0</v>
      </c>
    </row>
    <row r="613" spans="1:22" x14ac:dyDescent="0.3">
      <c r="A613" s="1">
        <v>45515</v>
      </c>
      <c r="B613" t="s">
        <v>42</v>
      </c>
      <c r="C613" t="s">
        <v>41</v>
      </c>
      <c r="D613" t="s">
        <v>35</v>
      </c>
      <c r="E613" t="s">
        <v>33</v>
      </c>
      <c r="F613" t="s">
        <v>43</v>
      </c>
      <c r="G613">
        <v>213</v>
      </c>
      <c r="H613">
        <v>2589</v>
      </c>
      <c r="I613">
        <v>14050.833559999999</v>
      </c>
      <c r="J613" t="b">
        <v>1</v>
      </c>
      <c r="K613">
        <v>13</v>
      </c>
      <c r="L613" t="b">
        <v>0</v>
      </c>
      <c r="M613">
        <v>13990.601619999999</v>
      </c>
      <c r="N613">
        <v>1416</v>
      </c>
      <c r="O613">
        <v>6398</v>
      </c>
      <c r="P613" t="s">
        <v>27</v>
      </c>
      <c r="Q613">
        <v>0.15042372881355931</v>
      </c>
      <c r="R613" t="s">
        <v>28</v>
      </c>
      <c r="S613">
        <v>65.966354741784031</v>
      </c>
      <c r="T613">
        <v>0.22131916223819945</v>
      </c>
      <c r="U613" t="s">
        <v>34</v>
      </c>
      <c r="V613">
        <v>0</v>
      </c>
    </row>
    <row r="614" spans="1:22" x14ac:dyDescent="0.3">
      <c r="A614" s="1">
        <v>45514</v>
      </c>
      <c r="B614" t="s">
        <v>30</v>
      </c>
      <c r="C614" t="s">
        <v>23</v>
      </c>
      <c r="D614" t="s">
        <v>35</v>
      </c>
      <c r="E614" t="s">
        <v>33</v>
      </c>
      <c r="F614" t="s">
        <v>39</v>
      </c>
      <c r="G614">
        <v>990</v>
      </c>
      <c r="H614">
        <v>243</v>
      </c>
      <c r="I614">
        <v>9024.5837109999993</v>
      </c>
      <c r="J614" t="b">
        <v>1</v>
      </c>
      <c r="K614">
        <v>24</v>
      </c>
      <c r="L614" t="b">
        <v>0</v>
      </c>
      <c r="M614">
        <v>162451.79519999999</v>
      </c>
      <c r="N614">
        <v>1427</v>
      </c>
      <c r="O614">
        <v>6658</v>
      </c>
      <c r="P614" t="s">
        <v>36</v>
      </c>
      <c r="Q614">
        <v>0.69376313945339874</v>
      </c>
      <c r="R614" t="s">
        <v>37</v>
      </c>
      <c r="S614">
        <v>9.1157411222222215</v>
      </c>
      <c r="T614">
        <v>0.21432862721537999</v>
      </c>
      <c r="U614" t="s">
        <v>34</v>
      </c>
      <c r="V614">
        <v>0</v>
      </c>
    </row>
    <row r="615" spans="1:22" x14ac:dyDescent="0.3">
      <c r="A615" s="1">
        <v>45513</v>
      </c>
      <c r="B615" t="s">
        <v>38</v>
      </c>
      <c r="C615" t="s">
        <v>23</v>
      </c>
      <c r="D615" t="s">
        <v>46</v>
      </c>
      <c r="E615" t="s">
        <v>33</v>
      </c>
      <c r="F615" t="s">
        <v>26</v>
      </c>
      <c r="G615">
        <v>978</v>
      </c>
      <c r="H615">
        <v>2611</v>
      </c>
      <c r="I615">
        <v>8535.7209399999992</v>
      </c>
      <c r="J615" t="b">
        <v>1</v>
      </c>
      <c r="K615">
        <v>8</v>
      </c>
      <c r="L615" t="b">
        <v>0</v>
      </c>
      <c r="M615">
        <v>93982.455119999999</v>
      </c>
      <c r="N615">
        <v>1931.5</v>
      </c>
      <c r="O615">
        <v>7375</v>
      </c>
      <c r="P615" t="s">
        <v>27</v>
      </c>
      <c r="Q615">
        <v>0.5063422210717059</v>
      </c>
      <c r="R615" t="s">
        <v>28</v>
      </c>
      <c r="S615">
        <v>8.7277310224948863</v>
      </c>
      <c r="T615">
        <v>0.26189830508474576</v>
      </c>
      <c r="U615" t="s">
        <v>34</v>
      </c>
      <c r="V615">
        <v>0</v>
      </c>
    </row>
    <row r="616" spans="1:22" x14ac:dyDescent="0.3">
      <c r="A616" s="1">
        <v>45512</v>
      </c>
      <c r="B616" t="s">
        <v>30</v>
      </c>
      <c r="C616" t="s">
        <v>23</v>
      </c>
      <c r="D616" t="s">
        <v>46</v>
      </c>
      <c r="E616" t="s">
        <v>25</v>
      </c>
      <c r="F616" t="s">
        <v>26</v>
      </c>
      <c r="G616">
        <v>145</v>
      </c>
      <c r="H616">
        <v>1252</v>
      </c>
      <c r="I616">
        <v>1303.7783400000001</v>
      </c>
      <c r="J616" t="b">
        <v>0</v>
      </c>
      <c r="K616">
        <v>16</v>
      </c>
      <c r="L616" t="b">
        <v>0</v>
      </c>
      <c r="M616">
        <v>23523.342700000001</v>
      </c>
      <c r="N616">
        <v>1282</v>
      </c>
      <c r="O616">
        <v>6930</v>
      </c>
      <c r="P616" t="s">
        <v>36</v>
      </c>
      <c r="Q616">
        <v>0.11310452418096724</v>
      </c>
      <c r="R616" t="s">
        <v>37</v>
      </c>
      <c r="S616">
        <v>8.9915747586206898</v>
      </c>
      <c r="T616">
        <v>0.18499278499278499</v>
      </c>
      <c r="U616" t="s">
        <v>34</v>
      </c>
      <c r="V616">
        <v>0</v>
      </c>
    </row>
    <row r="617" spans="1:22" x14ac:dyDescent="0.3">
      <c r="A617" s="1">
        <v>45511</v>
      </c>
      <c r="B617" t="s">
        <v>38</v>
      </c>
      <c r="C617" t="s">
        <v>31</v>
      </c>
      <c r="D617" t="s">
        <v>32</v>
      </c>
      <c r="E617" t="s">
        <v>25</v>
      </c>
      <c r="F617" t="s">
        <v>26</v>
      </c>
      <c r="G617">
        <v>778</v>
      </c>
      <c r="H617">
        <v>1312</v>
      </c>
      <c r="I617">
        <v>5409.8628220000001</v>
      </c>
      <c r="J617" t="b">
        <v>0</v>
      </c>
      <c r="K617">
        <v>22</v>
      </c>
      <c r="L617" t="b">
        <v>0</v>
      </c>
      <c r="M617">
        <v>26810.374790000002</v>
      </c>
      <c r="N617">
        <v>2957.5</v>
      </c>
      <c r="O617">
        <v>6751</v>
      </c>
      <c r="P617" t="s">
        <v>36</v>
      </c>
      <c r="Q617">
        <v>0.26306001690617076</v>
      </c>
      <c r="R617" t="s">
        <v>37</v>
      </c>
      <c r="S617">
        <v>6.9535511850899745</v>
      </c>
      <c r="T617">
        <v>0.43808324692638129</v>
      </c>
      <c r="U617" t="s">
        <v>29</v>
      </c>
      <c r="V617">
        <v>0</v>
      </c>
    </row>
    <row r="618" spans="1:22" x14ac:dyDescent="0.3">
      <c r="A618" s="1">
        <v>45510</v>
      </c>
      <c r="B618" t="s">
        <v>38</v>
      </c>
      <c r="C618" t="s">
        <v>44</v>
      </c>
      <c r="D618" t="s">
        <v>35</v>
      </c>
      <c r="E618" t="s">
        <v>45</v>
      </c>
      <c r="F618" t="s">
        <v>39</v>
      </c>
      <c r="G618">
        <v>489</v>
      </c>
      <c r="H618">
        <v>4603</v>
      </c>
      <c r="I618">
        <v>12179.2611</v>
      </c>
      <c r="J618" t="b">
        <v>0</v>
      </c>
      <c r="K618">
        <v>17</v>
      </c>
      <c r="L618" t="b">
        <v>0</v>
      </c>
      <c r="M618">
        <v>58604.138209999997</v>
      </c>
      <c r="N618">
        <v>3526</v>
      </c>
      <c r="O618">
        <v>9848</v>
      </c>
      <c r="P618" t="s">
        <v>27</v>
      </c>
      <c r="Q618">
        <v>0.13868406125921726</v>
      </c>
      <c r="R618" t="s">
        <v>37</v>
      </c>
      <c r="S618">
        <v>24.906464417177915</v>
      </c>
      <c r="T618">
        <v>0.35804224207961005</v>
      </c>
      <c r="U618" t="s">
        <v>34</v>
      </c>
      <c r="V618">
        <v>0</v>
      </c>
    </row>
    <row r="619" spans="1:22" x14ac:dyDescent="0.3">
      <c r="A619" s="1">
        <v>45509</v>
      </c>
      <c r="B619" t="s">
        <v>42</v>
      </c>
      <c r="C619" t="s">
        <v>23</v>
      </c>
      <c r="D619" t="s">
        <v>24</v>
      </c>
      <c r="E619" t="s">
        <v>33</v>
      </c>
      <c r="F619" t="s">
        <v>39</v>
      </c>
      <c r="G619">
        <v>405</v>
      </c>
      <c r="H619">
        <v>2449</v>
      </c>
      <c r="I619">
        <v>5444.0151699999997</v>
      </c>
      <c r="J619" t="b">
        <v>1</v>
      </c>
      <c r="K619">
        <v>26</v>
      </c>
      <c r="L619" t="b">
        <v>0</v>
      </c>
      <c r="M619">
        <v>39236.068429999999</v>
      </c>
      <c r="N619">
        <v>1809</v>
      </c>
      <c r="O619">
        <v>5050</v>
      </c>
      <c r="P619" t="s">
        <v>27</v>
      </c>
      <c r="Q619">
        <v>0.22388059701492538</v>
      </c>
      <c r="R619" t="s">
        <v>37</v>
      </c>
      <c r="S619">
        <v>13.442012765432098</v>
      </c>
      <c r="T619">
        <v>0.3582178217821782</v>
      </c>
      <c r="U619" t="s">
        <v>34</v>
      </c>
      <c r="V619">
        <v>0</v>
      </c>
    </row>
    <row r="620" spans="1:22" x14ac:dyDescent="0.3">
      <c r="A620" s="1">
        <v>45508</v>
      </c>
      <c r="B620" t="s">
        <v>22</v>
      </c>
      <c r="C620" t="s">
        <v>23</v>
      </c>
      <c r="D620" t="s">
        <v>32</v>
      </c>
      <c r="E620" t="s">
        <v>45</v>
      </c>
      <c r="F620" t="s">
        <v>26</v>
      </c>
      <c r="G620">
        <v>897</v>
      </c>
      <c r="H620">
        <v>1169</v>
      </c>
      <c r="I620">
        <v>12054.492770000001</v>
      </c>
      <c r="J620" t="b">
        <v>1</v>
      </c>
      <c r="K620">
        <v>18</v>
      </c>
      <c r="L620" t="b">
        <v>0</v>
      </c>
      <c r="M620">
        <v>169762.74340000001</v>
      </c>
      <c r="N620">
        <v>2485</v>
      </c>
      <c r="O620">
        <v>9804</v>
      </c>
      <c r="P620" t="s">
        <v>36</v>
      </c>
      <c r="Q620">
        <v>0.36096579476861168</v>
      </c>
      <c r="R620" t="s">
        <v>37</v>
      </c>
      <c r="S620">
        <v>13.438676443701228</v>
      </c>
      <c r="T620">
        <v>0.25346797225622197</v>
      </c>
      <c r="U620" t="s">
        <v>34</v>
      </c>
      <c r="V620">
        <v>0</v>
      </c>
    </row>
    <row r="621" spans="1:22" x14ac:dyDescent="0.3">
      <c r="A621" s="1">
        <v>45507</v>
      </c>
      <c r="B621" t="s">
        <v>38</v>
      </c>
      <c r="C621" t="s">
        <v>44</v>
      </c>
      <c r="D621" t="s">
        <v>24</v>
      </c>
      <c r="E621" t="s">
        <v>33</v>
      </c>
      <c r="F621" t="s">
        <v>43</v>
      </c>
      <c r="G621">
        <v>688</v>
      </c>
      <c r="H621">
        <v>3801</v>
      </c>
      <c r="I621">
        <v>8973.7408630000009</v>
      </c>
      <c r="J621" t="b">
        <v>1</v>
      </c>
      <c r="K621">
        <v>5</v>
      </c>
      <c r="L621" t="b">
        <v>1</v>
      </c>
      <c r="M621">
        <v>61979.334410000003</v>
      </c>
      <c r="N621">
        <v>3842</v>
      </c>
      <c r="O621">
        <v>5951</v>
      </c>
      <c r="P621" t="s">
        <v>36</v>
      </c>
      <c r="Q621">
        <v>0.17907339927121291</v>
      </c>
      <c r="R621" t="s">
        <v>40</v>
      </c>
      <c r="S621">
        <v>13.043227998546513</v>
      </c>
      <c r="T621">
        <v>0.64560578054108553</v>
      </c>
      <c r="U621" t="s">
        <v>29</v>
      </c>
      <c r="V621">
        <v>1</v>
      </c>
    </row>
    <row r="622" spans="1:22" x14ac:dyDescent="0.3">
      <c r="A622" s="1">
        <v>45506</v>
      </c>
      <c r="B622" t="s">
        <v>38</v>
      </c>
      <c r="C622" t="s">
        <v>23</v>
      </c>
      <c r="D622" t="s">
        <v>24</v>
      </c>
      <c r="E622" t="s">
        <v>45</v>
      </c>
      <c r="F622" t="s">
        <v>43</v>
      </c>
      <c r="G622">
        <v>255</v>
      </c>
      <c r="H622">
        <v>3883</v>
      </c>
      <c r="I622">
        <v>8174.3779979999999</v>
      </c>
      <c r="J622" t="b">
        <v>0</v>
      </c>
      <c r="K622">
        <v>18</v>
      </c>
      <c r="L622" t="b">
        <v>0</v>
      </c>
      <c r="M622">
        <v>13949.648279999999</v>
      </c>
      <c r="N622">
        <v>3704.5</v>
      </c>
      <c r="O622">
        <v>5941</v>
      </c>
      <c r="P622" t="s">
        <v>27</v>
      </c>
      <c r="Q622">
        <v>6.8835200431907134E-2</v>
      </c>
      <c r="R622" t="s">
        <v>37</v>
      </c>
      <c r="S622">
        <v>32.056384305882354</v>
      </c>
      <c r="T622">
        <v>0.62354822420467937</v>
      </c>
      <c r="U622" t="s">
        <v>29</v>
      </c>
      <c r="V622">
        <v>0</v>
      </c>
    </row>
    <row r="623" spans="1:22" x14ac:dyDescent="0.3">
      <c r="A623" s="1">
        <v>45505</v>
      </c>
      <c r="B623" t="s">
        <v>38</v>
      </c>
      <c r="C623" t="s">
        <v>23</v>
      </c>
      <c r="D623" t="s">
        <v>24</v>
      </c>
      <c r="E623" t="s">
        <v>45</v>
      </c>
      <c r="F623" t="s">
        <v>26</v>
      </c>
      <c r="G623">
        <v>71</v>
      </c>
      <c r="H623">
        <v>3526</v>
      </c>
      <c r="I623">
        <v>5701.5417829999997</v>
      </c>
      <c r="J623" t="b">
        <v>1</v>
      </c>
      <c r="K623">
        <v>17</v>
      </c>
      <c r="L623" t="b">
        <v>0</v>
      </c>
      <c r="M623">
        <v>13084.31891</v>
      </c>
      <c r="N623">
        <v>2145.5</v>
      </c>
      <c r="O623">
        <v>9600</v>
      </c>
      <c r="P623" t="s">
        <v>27</v>
      </c>
      <c r="Q623">
        <v>3.309251922628758E-2</v>
      </c>
      <c r="R623" t="s">
        <v>37</v>
      </c>
      <c r="S623">
        <v>80.303405394366195</v>
      </c>
      <c r="T623">
        <v>0.22348958333333332</v>
      </c>
      <c r="U623" t="s">
        <v>34</v>
      </c>
      <c r="V623">
        <v>0</v>
      </c>
    </row>
    <row r="624" spans="1:22" x14ac:dyDescent="0.3">
      <c r="A624" s="1">
        <v>45504</v>
      </c>
      <c r="B624" t="s">
        <v>38</v>
      </c>
      <c r="C624" t="s">
        <v>31</v>
      </c>
      <c r="D624" t="s">
        <v>24</v>
      </c>
      <c r="E624" t="s">
        <v>33</v>
      </c>
      <c r="F624" t="s">
        <v>26</v>
      </c>
      <c r="G624">
        <v>469</v>
      </c>
      <c r="H624">
        <v>765</v>
      </c>
      <c r="I624">
        <v>5741.5636720000002</v>
      </c>
      <c r="J624" t="b">
        <v>1</v>
      </c>
      <c r="K624">
        <v>6</v>
      </c>
      <c r="L624" t="b">
        <v>0</v>
      </c>
      <c r="M624">
        <v>34498.89759</v>
      </c>
      <c r="N624">
        <v>2763.5</v>
      </c>
      <c r="O624">
        <v>9754</v>
      </c>
      <c r="P624" t="s">
        <v>36</v>
      </c>
      <c r="Q624">
        <v>0.16971232133164466</v>
      </c>
      <c r="R624" t="s">
        <v>40</v>
      </c>
      <c r="S624">
        <v>12.242140025586355</v>
      </c>
      <c r="T624">
        <v>0.28331966372770145</v>
      </c>
      <c r="U624" t="s">
        <v>34</v>
      </c>
      <c r="V624">
        <v>0</v>
      </c>
    </row>
    <row r="625" spans="1:22" x14ac:dyDescent="0.3">
      <c r="A625" s="1">
        <v>45503</v>
      </c>
      <c r="B625" t="s">
        <v>22</v>
      </c>
      <c r="C625" t="s">
        <v>44</v>
      </c>
      <c r="D625" t="s">
        <v>32</v>
      </c>
      <c r="E625" t="s">
        <v>25</v>
      </c>
      <c r="F625" t="s">
        <v>26</v>
      </c>
      <c r="G625">
        <v>734</v>
      </c>
      <c r="H625">
        <v>4762</v>
      </c>
      <c r="I625">
        <v>7380.8930769999997</v>
      </c>
      <c r="J625" t="b">
        <v>1</v>
      </c>
      <c r="K625">
        <v>28</v>
      </c>
      <c r="L625" t="b">
        <v>0</v>
      </c>
      <c r="M625">
        <v>69825.187309999994</v>
      </c>
      <c r="N625">
        <v>2752</v>
      </c>
      <c r="O625">
        <v>7179</v>
      </c>
      <c r="P625" t="s">
        <v>27</v>
      </c>
      <c r="Q625">
        <v>0.26671511627906974</v>
      </c>
      <c r="R625" t="s">
        <v>37</v>
      </c>
      <c r="S625">
        <v>10.055712638964577</v>
      </c>
      <c r="T625">
        <v>0.38334029809165621</v>
      </c>
      <c r="U625" t="s">
        <v>34</v>
      </c>
      <c r="V625">
        <v>0</v>
      </c>
    </row>
    <row r="626" spans="1:22" x14ac:dyDescent="0.3">
      <c r="A626" s="1">
        <v>45502</v>
      </c>
      <c r="B626" t="s">
        <v>38</v>
      </c>
      <c r="C626" t="s">
        <v>23</v>
      </c>
      <c r="D626" t="s">
        <v>35</v>
      </c>
      <c r="E626" t="s">
        <v>33</v>
      </c>
      <c r="F626" t="s">
        <v>26</v>
      </c>
      <c r="G626">
        <v>85</v>
      </c>
      <c r="H626">
        <v>742</v>
      </c>
      <c r="I626">
        <v>3279.2341230000002</v>
      </c>
      <c r="J626" t="b">
        <v>1</v>
      </c>
      <c r="K626">
        <v>10</v>
      </c>
      <c r="L626" t="b">
        <v>0</v>
      </c>
      <c r="M626">
        <v>11573.38963</v>
      </c>
      <c r="N626">
        <v>1860</v>
      </c>
      <c r="O626">
        <v>5706</v>
      </c>
      <c r="P626" t="s">
        <v>36</v>
      </c>
      <c r="Q626">
        <v>4.5698924731182797E-2</v>
      </c>
      <c r="R626" t="s">
        <v>28</v>
      </c>
      <c r="S626">
        <v>38.579224976470591</v>
      </c>
      <c r="T626">
        <v>0.32597266035751843</v>
      </c>
      <c r="U626" t="s">
        <v>34</v>
      </c>
      <c r="V626">
        <v>0</v>
      </c>
    </row>
    <row r="627" spans="1:22" x14ac:dyDescent="0.3">
      <c r="A627" s="1">
        <v>45501</v>
      </c>
      <c r="B627" t="s">
        <v>30</v>
      </c>
      <c r="C627" t="s">
        <v>31</v>
      </c>
      <c r="D627" t="s">
        <v>24</v>
      </c>
      <c r="E627" t="s">
        <v>33</v>
      </c>
      <c r="F627" t="s">
        <v>26</v>
      </c>
      <c r="G627">
        <v>503</v>
      </c>
      <c r="H627">
        <v>2978</v>
      </c>
      <c r="I627">
        <v>1644.482898</v>
      </c>
      <c r="J627" t="b">
        <v>1</v>
      </c>
      <c r="K627">
        <v>28</v>
      </c>
      <c r="L627" t="b">
        <v>0</v>
      </c>
      <c r="M627">
        <v>10453.311900000001</v>
      </c>
      <c r="N627">
        <v>3422.5</v>
      </c>
      <c r="O627">
        <v>9639</v>
      </c>
      <c r="P627" t="s">
        <v>36</v>
      </c>
      <c r="Q627">
        <v>0.14696859021183345</v>
      </c>
      <c r="R627" t="s">
        <v>37</v>
      </c>
      <c r="S627">
        <v>3.2693496978131211</v>
      </c>
      <c r="T627">
        <v>0.35506795310716882</v>
      </c>
      <c r="U627" t="s">
        <v>34</v>
      </c>
      <c r="V627">
        <v>0</v>
      </c>
    </row>
    <row r="628" spans="1:22" x14ac:dyDescent="0.3">
      <c r="A628" s="1">
        <v>45500</v>
      </c>
      <c r="B628" t="s">
        <v>38</v>
      </c>
      <c r="C628" t="s">
        <v>23</v>
      </c>
      <c r="D628" t="s">
        <v>35</v>
      </c>
      <c r="E628" t="s">
        <v>33</v>
      </c>
      <c r="F628" t="s">
        <v>26</v>
      </c>
      <c r="G628">
        <v>199</v>
      </c>
      <c r="H628">
        <v>3867</v>
      </c>
      <c r="I628">
        <v>8929.1547859999991</v>
      </c>
      <c r="J628" t="b">
        <v>1</v>
      </c>
      <c r="K628">
        <v>26</v>
      </c>
      <c r="L628" t="b">
        <v>0</v>
      </c>
      <c r="M628">
        <v>5647.1172900000001</v>
      </c>
      <c r="N628">
        <v>4119.5</v>
      </c>
      <c r="O628">
        <v>5082</v>
      </c>
      <c r="P628" t="s">
        <v>36</v>
      </c>
      <c r="Q628">
        <v>4.8306833353562326E-2</v>
      </c>
      <c r="R628" t="s">
        <v>37</v>
      </c>
      <c r="S628">
        <v>44.870124552763812</v>
      </c>
      <c r="T628">
        <v>0.81060606060606055</v>
      </c>
      <c r="U628" t="s">
        <v>29</v>
      </c>
      <c r="V628">
        <v>0</v>
      </c>
    </row>
    <row r="629" spans="1:22" x14ac:dyDescent="0.3">
      <c r="A629" s="1">
        <v>45499</v>
      </c>
      <c r="B629" t="s">
        <v>22</v>
      </c>
      <c r="C629" t="s">
        <v>41</v>
      </c>
      <c r="D629" t="s">
        <v>35</v>
      </c>
      <c r="E629" t="s">
        <v>33</v>
      </c>
      <c r="F629" t="s">
        <v>26</v>
      </c>
      <c r="G629">
        <v>381</v>
      </c>
      <c r="H629">
        <v>4372</v>
      </c>
      <c r="I629">
        <v>12871.049279999999</v>
      </c>
      <c r="J629" t="b">
        <v>1</v>
      </c>
      <c r="K629">
        <v>29</v>
      </c>
      <c r="L629" t="b">
        <v>0</v>
      </c>
      <c r="M629">
        <v>7865.3480090000003</v>
      </c>
      <c r="N629">
        <v>4420</v>
      </c>
      <c r="O629">
        <v>8978</v>
      </c>
      <c r="P629" t="s">
        <v>36</v>
      </c>
      <c r="Q629">
        <v>8.6199095022624433E-2</v>
      </c>
      <c r="R629" t="s">
        <v>37</v>
      </c>
      <c r="S629">
        <v>33.78228157480315</v>
      </c>
      <c r="T629">
        <v>0.49231454666963687</v>
      </c>
      <c r="U629" t="s">
        <v>29</v>
      </c>
      <c r="V629">
        <v>0</v>
      </c>
    </row>
    <row r="630" spans="1:22" x14ac:dyDescent="0.3">
      <c r="A630" s="1">
        <v>45498</v>
      </c>
      <c r="B630" t="s">
        <v>30</v>
      </c>
      <c r="C630" t="s">
        <v>31</v>
      </c>
      <c r="D630" t="s">
        <v>46</v>
      </c>
      <c r="E630" t="s">
        <v>45</v>
      </c>
      <c r="F630" t="s">
        <v>26</v>
      </c>
      <c r="G630">
        <v>363</v>
      </c>
      <c r="H630">
        <v>4468</v>
      </c>
      <c r="I630">
        <v>7072.378181</v>
      </c>
      <c r="J630" t="b">
        <v>1</v>
      </c>
      <c r="K630">
        <v>29</v>
      </c>
      <c r="L630" t="b">
        <v>0</v>
      </c>
      <c r="M630">
        <v>53877.603710000003</v>
      </c>
      <c r="N630">
        <v>2677</v>
      </c>
      <c r="O630">
        <v>9221</v>
      </c>
      <c r="P630" t="s">
        <v>27</v>
      </c>
      <c r="Q630">
        <v>0.13559955173701904</v>
      </c>
      <c r="R630" t="s">
        <v>37</v>
      </c>
      <c r="S630">
        <v>19.483135484848486</v>
      </c>
      <c r="T630">
        <v>0.29031558399305935</v>
      </c>
      <c r="U630" t="s">
        <v>34</v>
      </c>
      <c r="V630">
        <v>0</v>
      </c>
    </row>
    <row r="631" spans="1:22" x14ac:dyDescent="0.3">
      <c r="A631" s="1">
        <v>45497</v>
      </c>
      <c r="B631" t="s">
        <v>38</v>
      </c>
      <c r="C631" t="s">
        <v>31</v>
      </c>
      <c r="D631" t="s">
        <v>32</v>
      </c>
      <c r="E631" t="s">
        <v>45</v>
      </c>
      <c r="F631" t="s">
        <v>26</v>
      </c>
      <c r="G631">
        <v>177</v>
      </c>
      <c r="H631">
        <v>886</v>
      </c>
      <c r="I631">
        <v>2196.2541729999998</v>
      </c>
      <c r="J631" t="b">
        <v>1</v>
      </c>
      <c r="K631">
        <v>17</v>
      </c>
      <c r="L631" t="b">
        <v>0</v>
      </c>
      <c r="M631">
        <v>6013.3518640000002</v>
      </c>
      <c r="N631">
        <v>1921.5</v>
      </c>
      <c r="O631">
        <v>8187</v>
      </c>
      <c r="P631" t="s">
        <v>36</v>
      </c>
      <c r="Q631">
        <v>9.2115534738485563E-2</v>
      </c>
      <c r="R631" t="s">
        <v>37</v>
      </c>
      <c r="S631">
        <v>12.408215666666665</v>
      </c>
      <c r="T631">
        <v>0.23470135580798829</v>
      </c>
      <c r="U631" t="s">
        <v>34</v>
      </c>
      <c r="V631">
        <v>0</v>
      </c>
    </row>
    <row r="632" spans="1:22" x14ac:dyDescent="0.3">
      <c r="A632" s="1">
        <v>45496</v>
      </c>
      <c r="B632" t="s">
        <v>30</v>
      </c>
      <c r="C632" t="s">
        <v>41</v>
      </c>
      <c r="D632" t="s">
        <v>24</v>
      </c>
      <c r="E632" t="s">
        <v>45</v>
      </c>
      <c r="F632" t="s">
        <v>43</v>
      </c>
      <c r="G632">
        <v>723</v>
      </c>
      <c r="H632">
        <v>2957</v>
      </c>
      <c r="I632">
        <v>7043.6350689999999</v>
      </c>
      <c r="J632" t="b">
        <v>1</v>
      </c>
      <c r="K632">
        <v>7</v>
      </c>
      <c r="L632" t="b">
        <v>0</v>
      </c>
      <c r="M632">
        <v>62349.577949999999</v>
      </c>
      <c r="N632">
        <v>3129.5</v>
      </c>
      <c r="O632">
        <v>7209</v>
      </c>
      <c r="P632" t="s">
        <v>36</v>
      </c>
      <c r="Q632">
        <v>0.23102732065825213</v>
      </c>
      <c r="R632" t="s">
        <v>40</v>
      </c>
      <c r="S632">
        <v>9.7422338437067779</v>
      </c>
      <c r="T632">
        <v>0.43411014010264948</v>
      </c>
      <c r="U632" t="s">
        <v>29</v>
      </c>
      <c r="V632">
        <v>0</v>
      </c>
    </row>
    <row r="633" spans="1:22" x14ac:dyDescent="0.3">
      <c r="A633" s="1">
        <v>45495</v>
      </c>
      <c r="B633" t="s">
        <v>30</v>
      </c>
      <c r="C633" t="s">
        <v>31</v>
      </c>
      <c r="D633" t="s">
        <v>35</v>
      </c>
      <c r="E633" t="s">
        <v>45</v>
      </c>
      <c r="F633" t="s">
        <v>43</v>
      </c>
      <c r="G633">
        <v>959</v>
      </c>
      <c r="H633">
        <v>3302</v>
      </c>
      <c r="I633">
        <v>4692.4824170000002</v>
      </c>
      <c r="J633" t="b">
        <v>1</v>
      </c>
      <c r="K633">
        <v>24</v>
      </c>
      <c r="L633" t="b">
        <v>0</v>
      </c>
      <c r="M633">
        <v>67386.772299999997</v>
      </c>
      <c r="N633">
        <v>2559</v>
      </c>
      <c r="O633">
        <v>9596</v>
      </c>
      <c r="P633" t="s">
        <v>27</v>
      </c>
      <c r="Q633">
        <v>0.37475576397030091</v>
      </c>
      <c r="R633" t="s">
        <v>37</v>
      </c>
      <c r="S633">
        <v>4.8930994963503656</v>
      </c>
      <c r="T633">
        <v>0.26667361400583578</v>
      </c>
      <c r="U633" t="s">
        <v>34</v>
      </c>
      <c r="V633">
        <v>0</v>
      </c>
    </row>
    <row r="634" spans="1:22" x14ac:dyDescent="0.3">
      <c r="A634" s="1">
        <v>45494</v>
      </c>
      <c r="B634" t="s">
        <v>42</v>
      </c>
      <c r="C634" t="s">
        <v>41</v>
      </c>
      <c r="D634" t="s">
        <v>24</v>
      </c>
      <c r="E634" t="s">
        <v>45</v>
      </c>
      <c r="F634" t="s">
        <v>26</v>
      </c>
      <c r="G634">
        <v>777</v>
      </c>
      <c r="H634">
        <v>1816</v>
      </c>
      <c r="I634">
        <v>1145.3810699999999</v>
      </c>
      <c r="J634" t="b">
        <v>1</v>
      </c>
      <c r="K634">
        <v>1</v>
      </c>
      <c r="L634" t="b">
        <v>0</v>
      </c>
      <c r="M634">
        <v>128278.6517</v>
      </c>
      <c r="N634">
        <v>3051.5</v>
      </c>
      <c r="O634">
        <v>8647</v>
      </c>
      <c r="P634" t="s">
        <v>36</v>
      </c>
      <c r="Q634">
        <v>0.25462887104702603</v>
      </c>
      <c r="R634" t="s">
        <v>40</v>
      </c>
      <c r="S634">
        <v>1.4741069111969112</v>
      </c>
      <c r="T634">
        <v>0.35289695848271074</v>
      </c>
      <c r="U634" t="s">
        <v>34</v>
      </c>
      <c r="V634">
        <v>0</v>
      </c>
    </row>
    <row r="635" spans="1:22" x14ac:dyDescent="0.3">
      <c r="A635" s="1">
        <v>45493</v>
      </c>
      <c r="B635" t="s">
        <v>38</v>
      </c>
      <c r="C635" t="s">
        <v>44</v>
      </c>
      <c r="D635" t="s">
        <v>24</v>
      </c>
      <c r="E635" t="s">
        <v>33</v>
      </c>
      <c r="F635" t="s">
        <v>26</v>
      </c>
      <c r="G635">
        <v>707</v>
      </c>
      <c r="H635">
        <v>4287</v>
      </c>
      <c r="I635">
        <v>6559.317951</v>
      </c>
      <c r="J635" t="b">
        <v>0</v>
      </c>
      <c r="K635">
        <v>12</v>
      </c>
      <c r="L635" t="b">
        <v>0</v>
      </c>
      <c r="M635">
        <v>108119.4703</v>
      </c>
      <c r="N635">
        <v>2270</v>
      </c>
      <c r="O635">
        <v>6768</v>
      </c>
      <c r="P635" t="s">
        <v>27</v>
      </c>
      <c r="Q635">
        <v>0.31145374449339208</v>
      </c>
      <c r="R635" t="s">
        <v>28</v>
      </c>
      <c r="S635">
        <v>9.2776774413012735</v>
      </c>
      <c r="T635">
        <v>0.33540189125295511</v>
      </c>
      <c r="U635" t="s">
        <v>34</v>
      </c>
      <c r="V635">
        <v>0</v>
      </c>
    </row>
    <row r="636" spans="1:22" x14ac:dyDescent="0.3">
      <c r="A636" s="1">
        <v>45492</v>
      </c>
      <c r="B636" t="s">
        <v>38</v>
      </c>
      <c r="C636" t="s">
        <v>23</v>
      </c>
      <c r="D636" t="s">
        <v>35</v>
      </c>
      <c r="E636" t="s">
        <v>25</v>
      </c>
      <c r="F636" t="s">
        <v>26</v>
      </c>
      <c r="G636">
        <v>918</v>
      </c>
      <c r="H636">
        <v>253</v>
      </c>
      <c r="I636">
        <v>6084.038783</v>
      </c>
      <c r="J636" t="b">
        <v>1</v>
      </c>
      <c r="K636">
        <v>24</v>
      </c>
      <c r="L636" t="b">
        <v>0</v>
      </c>
      <c r="M636">
        <v>59833.006869999997</v>
      </c>
      <c r="N636">
        <v>765</v>
      </c>
      <c r="O636">
        <v>8977</v>
      </c>
      <c r="P636" t="s">
        <v>36</v>
      </c>
      <c r="Q636">
        <v>1.2</v>
      </c>
      <c r="R636" t="s">
        <v>37</v>
      </c>
      <c r="S636">
        <v>6.627493227668845</v>
      </c>
      <c r="T636">
        <v>8.5217778767962576E-2</v>
      </c>
      <c r="U636" t="s">
        <v>34</v>
      </c>
      <c r="V636">
        <v>0</v>
      </c>
    </row>
    <row r="637" spans="1:22" x14ac:dyDescent="0.3">
      <c r="A637" s="1">
        <v>45491</v>
      </c>
      <c r="B637" t="s">
        <v>42</v>
      </c>
      <c r="C637" t="s">
        <v>41</v>
      </c>
      <c r="D637" t="s">
        <v>46</v>
      </c>
      <c r="E637" t="s">
        <v>45</v>
      </c>
      <c r="F637" t="s">
        <v>26</v>
      </c>
      <c r="G637">
        <v>895</v>
      </c>
      <c r="H637">
        <v>1277</v>
      </c>
      <c r="I637">
        <v>12132.6131</v>
      </c>
      <c r="J637" t="b">
        <v>1</v>
      </c>
      <c r="K637">
        <v>10</v>
      </c>
      <c r="L637" t="b">
        <v>0</v>
      </c>
      <c r="M637">
        <v>42767.681129999997</v>
      </c>
      <c r="N637">
        <v>3100.5</v>
      </c>
      <c r="O637">
        <v>6139</v>
      </c>
      <c r="P637" t="s">
        <v>36</v>
      </c>
      <c r="Q637">
        <v>0.28866311885179807</v>
      </c>
      <c r="R637" t="s">
        <v>28</v>
      </c>
      <c r="S637">
        <v>13.555992290502793</v>
      </c>
      <c r="T637">
        <v>0.5050496823586903</v>
      </c>
      <c r="U637" t="s">
        <v>29</v>
      </c>
      <c r="V637">
        <v>0</v>
      </c>
    </row>
    <row r="638" spans="1:22" x14ac:dyDescent="0.3">
      <c r="A638" s="1">
        <v>45490</v>
      </c>
      <c r="B638" t="s">
        <v>30</v>
      </c>
      <c r="C638" t="s">
        <v>31</v>
      </c>
      <c r="D638" t="s">
        <v>46</v>
      </c>
      <c r="E638" t="s">
        <v>33</v>
      </c>
      <c r="F638" t="s">
        <v>26</v>
      </c>
      <c r="G638">
        <v>671</v>
      </c>
      <c r="H638">
        <v>4924</v>
      </c>
      <c r="I638">
        <v>11565.67584</v>
      </c>
      <c r="J638" t="b">
        <v>1</v>
      </c>
      <c r="K638">
        <v>21</v>
      </c>
      <c r="L638" t="b">
        <v>0</v>
      </c>
      <c r="M638">
        <v>79146.320590000003</v>
      </c>
      <c r="N638">
        <v>3964.5</v>
      </c>
      <c r="O638">
        <v>8566</v>
      </c>
      <c r="P638" t="s">
        <v>27</v>
      </c>
      <c r="Q638">
        <v>0.16925211249842351</v>
      </c>
      <c r="R638" t="s">
        <v>37</v>
      </c>
      <c r="S638">
        <v>17.236476661698955</v>
      </c>
      <c r="T638">
        <v>0.4628181181414896</v>
      </c>
      <c r="U638" t="s">
        <v>29</v>
      </c>
      <c r="V638">
        <v>0</v>
      </c>
    </row>
    <row r="639" spans="1:22" x14ac:dyDescent="0.3">
      <c r="A639" s="1">
        <v>45489</v>
      </c>
      <c r="B639" t="s">
        <v>30</v>
      </c>
      <c r="C639" t="s">
        <v>31</v>
      </c>
      <c r="D639" t="s">
        <v>32</v>
      </c>
      <c r="E639" t="s">
        <v>45</v>
      </c>
      <c r="F639" t="s">
        <v>26</v>
      </c>
      <c r="G639">
        <v>955</v>
      </c>
      <c r="H639">
        <v>3005</v>
      </c>
      <c r="I639">
        <v>5140.8225400000001</v>
      </c>
      <c r="J639" t="b">
        <v>1</v>
      </c>
      <c r="K639">
        <v>29</v>
      </c>
      <c r="L639" t="b">
        <v>0</v>
      </c>
      <c r="M639">
        <v>153613.81419999999</v>
      </c>
      <c r="N639">
        <v>3865.5</v>
      </c>
      <c r="O639">
        <v>7607</v>
      </c>
      <c r="P639" t="s">
        <v>36</v>
      </c>
      <c r="Q639">
        <v>0.2470573017720864</v>
      </c>
      <c r="R639" t="s">
        <v>37</v>
      </c>
      <c r="S639">
        <v>5.3830602513089003</v>
      </c>
      <c r="T639">
        <v>0.50815038780070987</v>
      </c>
      <c r="U639" t="s">
        <v>29</v>
      </c>
      <c r="V639">
        <v>0</v>
      </c>
    </row>
    <row r="640" spans="1:22" x14ac:dyDescent="0.3">
      <c r="A640" s="1">
        <v>45488</v>
      </c>
      <c r="B640" t="s">
        <v>30</v>
      </c>
      <c r="C640" t="s">
        <v>31</v>
      </c>
      <c r="D640" t="s">
        <v>24</v>
      </c>
      <c r="E640" t="s">
        <v>25</v>
      </c>
      <c r="F640" t="s">
        <v>26</v>
      </c>
      <c r="G640">
        <v>966</v>
      </c>
      <c r="H640">
        <v>4726</v>
      </c>
      <c r="I640">
        <v>4475.3785459999999</v>
      </c>
      <c r="J640" t="b">
        <v>1</v>
      </c>
      <c r="K640">
        <v>19</v>
      </c>
      <c r="L640" t="b">
        <v>0</v>
      </c>
      <c r="M640">
        <v>162059.7672</v>
      </c>
      <c r="N640">
        <v>3560</v>
      </c>
      <c r="O640">
        <v>8877</v>
      </c>
      <c r="P640" t="s">
        <v>27</v>
      </c>
      <c r="Q640">
        <v>0.27134831460674158</v>
      </c>
      <c r="R640" t="s">
        <v>37</v>
      </c>
      <c r="S640">
        <v>4.6328970455486544</v>
      </c>
      <c r="T640">
        <v>0.40103638616649767</v>
      </c>
      <c r="U640" t="s">
        <v>29</v>
      </c>
      <c r="V640">
        <v>0</v>
      </c>
    </row>
    <row r="641" spans="1:22" x14ac:dyDescent="0.3">
      <c r="A641" s="1">
        <v>45487</v>
      </c>
      <c r="B641" t="s">
        <v>42</v>
      </c>
      <c r="C641" t="s">
        <v>23</v>
      </c>
      <c r="D641" t="s">
        <v>35</v>
      </c>
      <c r="E641" t="s">
        <v>45</v>
      </c>
      <c r="F641" t="s">
        <v>26</v>
      </c>
      <c r="G641">
        <v>329</v>
      </c>
      <c r="H641">
        <v>2394</v>
      </c>
      <c r="I641">
        <v>1901.28847</v>
      </c>
      <c r="J641" t="b">
        <v>1</v>
      </c>
      <c r="K641">
        <v>11</v>
      </c>
      <c r="L641" t="b">
        <v>0</v>
      </c>
      <c r="M641">
        <v>27545.042959999999</v>
      </c>
      <c r="N641">
        <v>1745</v>
      </c>
      <c r="O641">
        <v>6849</v>
      </c>
      <c r="P641" t="s">
        <v>27</v>
      </c>
      <c r="Q641">
        <v>0.18853868194842408</v>
      </c>
      <c r="R641" t="s">
        <v>28</v>
      </c>
      <c r="S641">
        <v>5.7789923100303948</v>
      </c>
      <c r="T641">
        <v>0.25478171995911814</v>
      </c>
      <c r="U641" t="s">
        <v>34</v>
      </c>
      <c r="V641">
        <v>0</v>
      </c>
    </row>
    <row r="642" spans="1:22" x14ac:dyDescent="0.3">
      <c r="A642" s="1">
        <v>45486</v>
      </c>
      <c r="B642" t="s">
        <v>38</v>
      </c>
      <c r="C642" t="s">
        <v>31</v>
      </c>
      <c r="D642" t="s">
        <v>24</v>
      </c>
      <c r="E642" t="s">
        <v>25</v>
      </c>
      <c r="F642" t="s">
        <v>43</v>
      </c>
      <c r="G642">
        <v>920</v>
      </c>
      <c r="H642">
        <v>1096</v>
      </c>
      <c r="I642">
        <v>10602.944820000001</v>
      </c>
      <c r="J642" t="b">
        <v>1</v>
      </c>
      <c r="K642">
        <v>25</v>
      </c>
      <c r="L642" t="b">
        <v>0</v>
      </c>
      <c r="M642">
        <v>113958.1323</v>
      </c>
      <c r="N642">
        <v>675</v>
      </c>
      <c r="O642">
        <v>8236</v>
      </c>
      <c r="P642" t="s">
        <v>27</v>
      </c>
      <c r="Q642">
        <v>1.3629629629629629</v>
      </c>
      <c r="R642" t="s">
        <v>37</v>
      </c>
      <c r="S642">
        <v>11.52494002173913</v>
      </c>
      <c r="T642">
        <v>8.1957260806216611E-2</v>
      </c>
      <c r="U642" t="s">
        <v>34</v>
      </c>
      <c r="V642">
        <v>0</v>
      </c>
    </row>
    <row r="643" spans="1:22" x14ac:dyDescent="0.3">
      <c r="A643" s="1">
        <v>45485</v>
      </c>
      <c r="B643" t="s">
        <v>42</v>
      </c>
      <c r="C643" t="s">
        <v>31</v>
      </c>
      <c r="D643" t="s">
        <v>35</v>
      </c>
      <c r="E643" t="s">
        <v>45</v>
      </c>
      <c r="F643" t="s">
        <v>26</v>
      </c>
      <c r="G643">
        <v>174</v>
      </c>
      <c r="H643">
        <v>254</v>
      </c>
      <c r="I643">
        <v>13591.58634</v>
      </c>
      <c r="J643" t="b">
        <v>1</v>
      </c>
      <c r="K643">
        <v>23</v>
      </c>
      <c r="L643" t="b">
        <v>0</v>
      </c>
      <c r="M643">
        <v>31139.29982</v>
      </c>
      <c r="N643">
        <v>1815</v>
      </c>
      <c r="O643">
        <v>6561</v>
      </c>
      <c r="P643" t="s">
        <v>36</v>
      </c>
      <c r="Q643">
        <v>9.5867768595041328E-2</v>
      </c>
      <c r="R643" t="s">
        <v>37</v>
      </c>
      <c r="S643">
        <v>78.112565172413795</v>
      </c>
      <c r="T643">
        <v>0.27663465935070874</v>
      </c>
      <c r="U643" t="s">
        <v>34</v>
      </c>
      <c r="V643">
        <v>0</v>
      </c>
    </row>
    <row r="644" spans="1:22" x14ac:dyDescent="0.3">
      <c r="A644" s="1">
        <v>45484</v>
      </c>
      <c r="B644" t="s">
        <v>38</v>
      </c>
      <c r="C644" t="s">
        <v>41</v>
      </c>
      <c r="D644" t="s">
        <v>35</v>
      </c>
      <c r="E644" t="s">
        <v>25</v>
      </c>
      <c r="F644" t="s">
        <v>39</v>
      </c>
      <c r="G644">
        <v>389</v>
      </c>
      <c r="H644">
        <v>3376</v>
      </c>
      <c r="I644">
        <v>14432.02655</v>
      </c>
      <c r="J644" t="b">
        <v>1</v>
      </c>
      <c r="K644">
        <v>15</v>
      </c>
      <c r="L644" t="b">
        <v>1</v>
      </c>
      <c r="M644">
        <v>53822.932769999999</v>
      </c>
      <c r="N644">
        <v>4065</v>
      </c>
      <c r="O644">
        <v>7785</v>
      </c>
      <c r="P644" t="s">
        <v>36</v>
      </c>
      <c r="Q644">
        <v>9.569495694956949E-2</v>
      </c>
      <c r="R644" t="s">
        <v>37</v>
      </c>
      <c r="S644">
        <v>37.100325321336761</v>
      </c>
      <c r="T644">
        <v>0.52215799614643543</v>
      </c>
      <c r="U644" t="s">
        <v>29</v>
      </c>
      <c r="V644">
        <v>1</v>
      </c>
    </row>
    <row r="645" spans="1:22" x14ac:dyDescent="0.3">
      <c r="A645" s="1">
        <v>45483</v>
      </c>
      <c r="B645" t="s">
        <v>42</v>
      </c>
      <c r="C645" t="s">
        <v>41</v>
      </c>
      <c r="D645" t="s">
        <v>24</v>
      </c>
      <c r="E645" t="s">
        <v>33</v>
      </c>
      <c r="F645" t="s">
        <v>26</v>
      </c>
      <c r="G645">
        <v>205</v>
      </c>
      <c r="H645">
        <v>4754</v>
      </c>
      <c r="I645">
        <v>9434.6529960000007</v>
      </c>
      <c r="J645" t="b">
        <v>1</v>
      </c>
      <c r="K645">
        <v>25</v>
      </c>
      <c r="L645" t="b">
        <v>0</v>
      </c>
      <c r="M645">
        <v>6289.5807169999998</v>
      </c>
      <c r="N645">
        <v>2794</v>
      </c>
      <c r="O645">
        <v>6566</v>
      </c>
      <c r="P645" t="s">
        <v>27</v>
      </c>
      <c r="Q645">
        <v>7.33715103793844E-2</v>
      </c>
      <c r="R645" t="s">
        <v>37</v>
      </c>
      <c r="S645">
        <v>46.022697541463415</v>
      </c>
      <c r="T645">
        <v>0.42552543405421872</v>
      </c>
      <c r="U645" t="s">
        <v>29</v>
      </c>
      <c r="V645">
        <v>0</v>
      </c>
    </row>
    <row r="646" spans="1:22" x14ac:dyDescent="0.3">
      <c r="A646" s="1">
        <v>45482</v>
      </c>
      <c r="B646" t="s">
        <v>42</v>
      </c>
      <c r="C646" t="s">
        <v>23</v>
      </c>
      <c r="D646" t="s">
        <v>24</v>
      </c>
      <c r="E646" t="s">
        <v>33</v>
      </c>
      <c r="F646" t="s">
        <v>26</v>
      </c>
      <c r="G646">
        <v>662</v>
      </c>
      <c r="H646">
        <v>834</v>
      </c>
      <c r="I646">
        <v>730.84387530000004</v>
      </c>
      <c r="J646" t="b">
        <v>1</v>
      </c>
      <c r="K646">
        <v>24</v>
      </c>
      <c r="L646" t="b">
        <v>1</v>
      </c>
      <c r="M646">
        <v>92812.334300000002</v>
      </c>
      <c r="N646">
        <v>545</v>
      </c>
      <c r="O646">
        <v>9189</v>
      </c>
      <c r="P646" t="s">
        <v>27</v>
      </c>
      <c r="Q646">
        <v>1.2146788990825688</v>
      </c>
      <c r="R646" t="s">
        <v>37</v>
      </c>
      <c r="S646">
        <v>1.1039937693353474</v>
      </c>
      <c r="T646">
        <v>5.9310044618565677E-2</v>
      </c>
      <c r="U646" t="s">
        <v>34</v>
      </c>
      <c r="V646">
        <v>1</v>
      </c>
    </row>
    <row r="647" spans="1:22" x14ac:dyDescent="0.3">
      <c r="A647" s="1">
        <v>45481</v>
      </c>
      <c r="B647" t="s">
        <v>22</v>
      </c>
      <c r="C647" t="s">
        <v>41</v>
      </c>
      <c r="D647" t="s">
        <v>46</v>
      </c>
      <c r="E647" t="s">
        <v>25</v>
      </c>
      <c r="F647" t="s">
        <v>26</v>
      </c>
      <c r="G647">
        <v>573</v>
      </c>
      <c r="H647">
        <v>256</v>
      </c>
      <c r="I647">
        <v>1977.430433</v>
      </c>
      <c r="J647" t="b">
        <v>1</v>
      </c>
      <c r="K647">
        <v>21</v>
      </c>
      <c r="L647" t="b">
        <v>0</v>
      </c>
      <c r="M647">
        <v>110012.0962</v>
      </c>
      <c r="N647">
        <v>1930</v>
      </c>
      <c r="O647">
        <v>8241</v>
      </c>
      <c r="P647" t="s">
        <v>36</v>
      </c>
      <c r="Q647">
        <v>0.29689119170984457</v>
      </c>
      <c r="R647" t="s">
        <v>37</v>
      </c>
      <c r="S647">
        <v>3.4510129720767888</v>
      </c>
      <c r="T647">
        <v>0.23419487926222546</v>
      </c>
      <c r="U647" t="s">
        <v>34</v>
      </c>
      <c r="V647">
        <v>0</v>
      </c>
    </row>
    <row r="648" spans="1:22" x14ac:dyDescent="0.3">
      <c r="A648" s="1">
        <v>45480</v>
      </c>
      <c r="B648" t="s">
        <v>42</v>
      </c>
      <c r="C648" t="s">
        <v>31</v>
      </c>
      <c r="D648" t="s">
        <v>46</v>
      </c>
      <c r="E648" t="s">
        <v>25</v>
      </c>
      <c r="F648" t="s">
        <v>26</v>
      </c>
      <c r="G648">
        <v>576</v>
      </c>
      <c r="H648">
        <v>3604</v>
      </c>
      <c r="I648">
        <v>6988.7919009999996</v>
      </c>
      <c r="J648" t="b">
        <v>1</v>
      </c>
      <c r="K648">
        <v>11</v>
      </c>
      <c r="L648" t="b">
        <v>0</v>
      </c>
      <c r="M648">
        <v>28526.70624</v>
      </c>
      <c r="N648">
        <v>3394.5</v>
      </c>
      <c r="O648">
        <v>9962</v>
      </c>
      <c r="P648" t="s">
        <v>27</v>
      </c>
      <c r="Q648">
        <v>0.16968625718073355</v>
      </c>
      <c r="R648" t="s">
        <v>28</v>
      </c>
      <c r="S648">
        <v>12.133319272569445</v>
      </c>
      <c r="T648">
        <v>0.34074483035535036</v>
      </c>
      <c r="U648" t="s">
        <v>34</v>
      </c>
      <c r="V648">
        <v>0</v>
      </c>
    </row>
    <row r="649" spans="1:22" x14ac:dyDescent="0.3">
      <c r="A649" s="1">
        <v>45479</v>
      </c>
      <c r="B649" t="s">
        <v>22</v>
      </c>
      <c r="C649" t="s">
        <v>44</v>
      </c>
      <c r="D649" t="s">
        <v>46</v>
      </c>
      <c r="E649" t="s">
        <v>25</v>
      </c>
      <c r="F649" t="s">
        <v>26</v>
      </c>
      <c r="G649">
        <v>334</v>
      </c>
      <c r="H649">
        <v>3185</v>
      </c>
      <c r="I649">
        <v>1646.602304</v>
      </c>
      <c r="J649" t="b">
        <v>1</v>
      </c>
      <c r="K649">
        <v>19</v>
      </c>
      <c r="L649" t="b">
        <v>0</v>
      </c>
      <c r="M649">
        <v>49558.726589999998</v>
      </c>
      <c r="N649">
        <v>2702.5</v>
      </c>
      <c r="O649">
        <v>8323</v>
      </c>
      <c r="P649" t="s">
        <v>27</v>
      </c>
      <c r="Q649">
        <v>0.12358926919518964</v>
      </c>
      <c r="R649" t="s">
        <v>37</v>
      </c>
      <c r="S649">
        <v>4.9299470179640723</v>
      </c>
      <c r="T649">
        <v>0.32470263126276583</v>
      </c>
      <c r="U649" t="s">
        <v>34</v>
      </c>
      <c r="V649">
        <v>0</v>
      </c>
    </row>
    <row r="650" spans="1:22" x14ac:dyDescent="0.3">
      <c r="A650" s="1">
        <v>45478</v>
      </c>
      <c r="B650" t="s">
        <v>42</v>
      </c>
      <c r="C650" t="s">
        <v>23</v>
      </c>
      <c r="D650" t="s">
        <v>35</v>
      </c>
      <c r="E650" t="s">
        <v>45</v>
      </c>
      <c r="F650" t="s">
        <v>26</v>
      </c>
      <c r="G650">
        <v>243</v>
      </c>
      <c r="H650">
        <v>2220</v>
      </c>
      <c r="I650">
        <v>11586.239820000001</v>
      </c>
      <c r="J650" t="b">
        <v>1</v>
      </c>
      <c r="K650">
        <v>1</v>
      </c>
      <c r="L650" t="b">
        <v>0</v>
      </c>
      <c r="M650">
        <v>48225.22219</v>
      </c>
      <c r="N650">
        <v>1936</v>
      </c>
      <c r="O650">
        <v>9833</v>
      </c>
      <c r="P650" t="s">
        <v>27</v>
      </c>
      <c r="Q650">
        <v>0.12551652892561985</v>
      </c>
      <c r="R650" t="s">
        <v>40</v>
      </c>
      <c r="S650">
        <v>47.679999259259262</v>
      </c>
      <c r="T650">
        <v>0.19688803010271536</v>
      </c>
      <c r="U650" t="s">
        <v>34</v>
      </c>
      <c r="V650">
        <v>0</v>
      </c>
    </row>
    <row r="651" spans="1:22" x14ac:dyDescent="0.3">
      <c r="A651" s="1">
        <v>45477</v>
      </c>
      <c r="B651" t="s">
        <v>22</v>
      </c>
      <c r="C651" t="s">
        <v>23</v>
      </c>
      <c r="D651" t="s">
        <v>46</v>
      </c>
      <c r="E651" t="s">
        <v>25</v>
      </c>
      <c r="F651" t="s">
        <v>26</v>
      </c>
      <c r="G651">
        <v>127</v>
      </c>
      <c r="H651">
        <v>1652</v>
      </c>
      <c r="I651">
        <v>13804.400970000001</v>
      </c>
      <c r="J651" t="b">
        <v>0</v>
      </c>
      <c r="K651">
        <v>8</v>
      </c>
      <c r="L651" t="b">
        <v>0</v>
      </c>
      <c r="M651">
        <v>17792.495849999999</v>
      </c>
      <c r="N651">
        <v>1154</v>
      </c>
      <c r="O651">
        <v>6349</v>
      </c>
      <c r="P651" t="s">
        <v>27</v>
      </c>
      <c r="Q651">
        <v>0.11005199306759099</v>
      </c>
      <c r="R651" t="s">
        <v>28</v>
      </c>
      <c r="S651">
        <v>108.69607062992127</v>
      </c>
      <c r="T651">
        <v>0.18176090722948496</v>
      </c>
      <c r="U651" t="s">
        <v>34</v>
      </c>
      <c r="V651">
        <v>0</v>
      </c>
    </row>
    <row r="652" spans="1:22" x14ac:dyDescent="0.3">
      <c r="A652" s="1">
        <v>45476</v>
      </c>
      <c r="B652" t="s">
        <v>30</v>
      </c>
      <c r="C652" t="s">
        <v>31</v>
      </c>
      <c r="D652" t="s">
        <v>32</v>
      </c>
      <c r="E652" t="s">
        <v>45</v>
      </c>
      <c r="F652" t="s">
        <v>43</v>
      </c>
      <c r="G652">
        <v>618</v>
      </c>
      <c r="H652">
        <v>656</v>
      </c>
      <c r="I652">
        <v>14464.8649</v>
      </c>
      <c r="J652" t="b">
        <v>1</v>
      </c>
      <c r="K652">
        <v>1</v>
      </c>
      <c r="L652" t="b">
        <v>0</v>
      </c>
      <c r="M652">
        <v>95659.567049999998</v>
      </c>
      <c r="N652">
        <v>1452</v>
      </c>
      <c r="O652">
        <v>8404</v>
      </c>
      <c r="P652" t="s">
        <v>36</v>
      </c>
      <c r="Q652">
        <v>0.42561983471074383</v>
      </c>
      <c r="R652" t="s">
        <v>40</v>
      </c>
      <c r="S652">
        <v>23.405930258899676</v>
      </c>
      <c r="T652">
        <v>0.17277486910994763</v>
      </c>
      <c r="U652" t="s">
        <v>34</v>
      </c>
      <c r="V652">
        <v>0</v>
      </c>
    </row>
    <row r="653" spans="1:22" x14ac:dyDescent="0.3">
      <c r="A653" s="1">
        <v>45475</v>
      </c>
      <c r="B653" t="s">
        <v>38</v>
      </c>
      <c r="C653" t="s">
        <v>31</v>
      </c>
      <c r="D653" t="s">
        <v>46</v>
      </c>
      <c r="E653" t="s">
        <v>45</v>
      </c>
      <c r="F653" t="s">
        <v>26</v>
      </c>
      <c r="G653">
        <v>720</v>
      </c>
      <c r="H653">
        <v>2248</v>
      </c>
      <c r="I653">
        <v>509.09899109999998</v>
      </c>
      <c r="J653" t="b">
        <v>1</v>
      </c>
      <c r="K653">
        <v>6</v>
      </c>
      <c r="L653" t="b">
        <v>0</v>
      </c>
      <c r="M653">
        <v>73480.298420000006</v>
      </c>
      <c r="N653">
        <v>3071.5</v>
      </c>
      <c r="O653">
        <v>9802</v>
      </c>
      <c r="P653" t="s">
        <v>36</v>
      </c>
      <c r="Q653">
        <v>0.23441315318248412</v>
      </c>
      <c r="R653" t="s">
        <v>40</v>
      </c>
      <c r="S653">
        <v>0.70708193208333325</v>
      </c>
      <c r="T653">
        <v>0.31335441746582332</v>
      </c>
      <c r="U653" t="s">
        <v>34</v>
      </c>
      <c r="V653">
        <v>0</v>
      </c>
    </row>
    <row r="654" spans="1:22" x14ac:dyDescent="0.3">
      <c r="A654" s="1">
        <v>45474</v>
      </c>
      <c r="B654" t="s">
        <v>42</v>
      </c>
      <c r="C654" t="s">
        <v>41</v>
      </c>
      <c r="D654" t="s">
        <v>46</v>
      </c>
      <c r="E654" t="s">
        <v>33</v>
      </c>
      <c r="F654" t="s">
        <v>39</v>
      </c>
      <c r="G654">
        <v>435</v>
      </c>
      <c r="H654">
        <v>3895</v>
      </c>
      <c r="I654">
        <v>4804.9872770000002</v>
      </c>
      <c r="J654" t="b">
        <v>0</v>
      </c>
      <c r="K654">
        <v>25</v>
      </c>
      <c r="L654" t="b">
        <v>0</v>
      </c>
      <c r="M654">
        <v>86766.8073</v>
      </c>
      <c r="N654">
        <v>2245</v>
      </c>
      <c r="O654">
        <v>8226</v>
      </c>
      <c r="P654" t="s">
        <v>27</v>
      </c>
      <c r="Q654">
        <v>0.19376391982182628</v>
      </c>
      <c r="R654" t="s">
        <v>37</v>
      </c>
      <c r="S654">
        <v>11.045947763218392</v>
      </c>
      <c r="T654">
        <v>0.27291514709457815</v>
      </c>
      <c r="U654" t="s">
        <v>34</v>
      </c>
      <c r="V654">
        <v>0</v>
      </c>
    </row>
    <row r="655" spans="1:22" x14ac:dyDescent="0.3">
      <c r="A655" s="1">
        <v>45473</v>
      </c>
      <c r="B655" t="s">
        <v>22</v>
      </c>
      <c r="C655" t="s">
        <v>23</v>
      </c>
      <c r="D655" t="s">
        <v>24</v>
      </c>
      <c r="E655" t="s">
        <v>45</v>
      </c>
      <c r="F655" t="s">
        <v>26</v>
      </c>
      <c r="G655">
        <v>972</v>
      </c>
      <c r="H655">
        <v>595</v>
      </c>
      <c r="I655">
        <v>4279.7897869999997</v>
      </c>
      <c r="J655" t="b">
        <v>1</v>
      </c>
      <c r="K655">
        <v>28</v>
      </c>
      <c r="L655" t="b">
        <v>0</v>
      </c>
      <c r="M655">
        <v>121790.15640000001</v>
      </c>
      <c r="N655">
        <v>1508</v>
      </c>
      <c r="O655">
        <v>5524</v>
      </c>
      <c r="P655" t="s">
        <v>36</v>
      </c>
      <c r="Q655">
        <v>0.64456233421750664</v>
      </c>
      <c r="R655" t="s">
        <v>37</v>
      </c>
      <c r="S655">
        <v>4.40307591255144</v>
      </c>
      <c r="T655">
        <v>0.27299058653149894</v>
      </c>
      <c r="U655" t="s">
        <v>34</v>
      </c>
      <c r="V655">
        <v>0</v>
      </c>
    </row>
    <row r="656" spans="1:22" x14ac:dyDescent="0.3">
      <c r="A656" s="1">
        <v>45472</v>
      </c>
      <c r="B656" t="s">
        <v>42</v>
      </c>
      <c r="C656" t="s">
        <v>44</v>
      </c>
      <c r="D656" t="s">
        <v>46</v>
      </c>
      <c r="E656" t="s">
        <v>25</v>
      </c>
      <c r="F656" t="s">
        <v>26</v>
      </c>
      <c r="G656">
        <v>457</v>
      </c>
      <c r="H656">
        <v>2421</v>
      </c>
      <c r="I656">
        <v>12317.722089999999</v>
      </c>
      <c r="J656" t="b">
        <v>1</v>
      </c>
      <c r="K656">
        <v>23</v>
      </c>
      <c r="L656" t="b">
        <v>0</v>
      </c>
      <c r="M656">
        <v>74981.797550000003</v>
      </c>
      <c r="N656">
        <v>1716.5</v>
      </c>
      <c r="O656">
        <v>9116</v>
      </c>
      <c r="P656" t="s">
        <v>27</v>
      </c>
      <c r="Q656">
        <v>0.26623944072240024</v>
      </c>
      <c r="R656" t="s">
        <v>37</v>
      </c>
      <c r="S656">
        <v>26.953440021881836</v>
      </c>
      <c r="T656">
        <v>0.18829530495831506</v>
      </c>
      <c r="U656" t="s">
        <v>34</v>
      </c>
      <c r="V656">
        <v>0</v>
      </c>
    </row>
    <row r="657" spans="1:22" x14ac:dyDescent="0.3">
      <c r="A657" s="1">
        <v>45471</v>
      </c>
      <c r="B657" t="s">
        <v>22</v>
      </c>
      <c r="C657" t="s">
        <v>44</v>
      </c>
      <c r="D657" t="s">
        <v>32</v>
      </c>
      <c r="E657" t="s">
        <v>33</v>
      </c>
      <c r="F657" t="s">
        <v>26</v>
      </c>
      <c r="G657">
        <v>725</v>
      </c>
      <c r="H657">
        <v>1012</v>
      </c>
      <c r="I657">
        <v>10204.35404</v>
      </c>
      <c r="J657" t="b">
        <v>1</v>
      </c>
      <c r="K657">
        <v>23</v>
      </c>
      <c r="L657" t="b">
        <v>1</v>
      </c>
      <c r="M657">
        <v>93286.336639999994</v>
      </c>
      <c r="N657">
        <v>848.5</v>
      </c>
      <c r="O657">
        <v>6194</v>
      </c>
      <c r="P657" t="s">
        <v>27</v>
      </c>
      <c r="Q657">
        <v>0.854449027695934</v>
      </c>
      <c r="R657" t="s">
        <v>37</v>
      </c>
      <c r="S657">
        <v>14.074971089655172</v>
      </c>
      <c r="T657">
        <v>0.13698740716822733</v>
      </c>
      <c r="U657" t="s">
        <v>34</v>
      </c>
      <c r="V657">
        <v>1</v>
      </c>
    </row>
    <row r="658" spans="1:22" x14ac:dyDescent="0.3">
      <c r="A658" s="1">
        <v>45470</v>
      </c>
      <c r="B658" t="s">
        <v>38</v>
      </c>
      <c r="C658" t="s">
        <v>31</v>
      </c>
      <c r="D658" t="s">
        <v>35</v>
      </c>
      <c r="E658" t="s">
        <v>45</v>
      </c>
      <c r="F658" t="s">
        <v>43</v>
      </c>
      <c r="G658">
        <v>685</v>
      </c>
      <c r="H658">
        <v>685</v>
      </c>
      <c r="I658">
        <v>8052.7915869999997</v>
      </c>
      <c r="J658" t="b">
        <v>1</v>
      </c>
      <c r="K658">
        <v>19</v>
      </c>
      <c r="L658" t="b">
        <v>0</v>
      </c>
      <c r="M658">
        <v>19688.268319999999</v>
      </c>
      <c r="N658">
        <v>468</v>
      </c>
      <c r="O658">
        <v>9268</v>
      </c>
      <c r="P658" t="s">
        <v>27</v>
      </c>
      <c r="Q658">
        <v>1.4636752136752136</v>
      </c>
      <c r="R658" t="s">
        <v>37</v>
      </c>
      <c r="S658">
        <v>11.755900127007299</v>
      </c>
      <c r="T658">
        <v>5.0496331463098836E-2</v>
      </c>
      <c r="U658" t="s">
        <v>34</v>
      </c>
      <c r="V658">
        <v>0</v>
      </c>
    </row>
    <row r="659" spans="1:22" x14ac:dyDescent="0.3">
      <c r="A659" s="1">
        <v>45469</v>
      </c>
      <c r="B659" t="s">
        <v>30</v>
      </c>
      <c r="C659" t="s">
        <v>44</v>
      </c>
      <c r="D659" t="s">
        <v>24</v>
      </c>
      <c r="E659" t="s">
        <v>45</v>
      </c>
      <c r="F659" t="s">
        <v>26</v>
      </c>
      <c r="G659">
        <v>484</v>
      </c>
      <c r="H659">
        <v>251</v>
      </c>
      <c r="I659">
        <v>13063.540419999999</v>
      </c>
      <c r="J659" t="b">
        <v>1</v>
      </c>
      <c r="K659">
        <v>8</v>
      </c>
      <c r="L659" t="b">
        <v>0</v>
      </c>
      <c r="M659">
        <v>60581.445760000002</v>
      </c>
      <c r="N659">
        <v>637.5</v>
      </c>
      <c r="O659">
        <v>5560</v>
      </c>
      <c r="P659" t="s">
        <v>36</v>
      </c>
      <c r="Q659">
        <v>0.75921568627450975</v>
      </c>
      <c r="R659" t="s">
        <v>28</v>
      </c>
      <c r="S659">
        <v>26.990785991735535</v>
      </c>
      <c r="T659">
        <v>0.11465827338129496</v>
      </c>
      <c r="U659" t="s">
        <v>34</v>
      </c>
      <c r="V659">
        <v>0</v>
      </c>
    </row>
    <row r="660" spans="1:22" x14ac:dyDescent="0.3">
      <c r="A660" s="1">
        <v>45468</v>
      </c>
      <c r="B660" t="s">
        <v>38</v>
      </c>
      <c r="C660" t="s">
        <v>44</v>
      </c>
      <c r="D660" t="s">
        <v>35</v>
      </c>
      <c r="E660" t="s">
        <v>45</v>
      </c>
      <c r="F660" t="s">
        <v>26</v>
      </c>
      <c r="G660">
        <v>370</v>
      </c>
      <c r="H660">
        <v>1024</v>
      </c>
      <c r="I660">
        <v>11157.87916</v>
      </c>
      <c r="J660" t="b">
        <v>1</v>
      </c>
      <c r="K660">
        <v>26</v>
      </c>
      <c r="L660" t="b">
        <v>0</v>
      </c>
      <c r="M660">
        <v>10145.121859999999</v>
      </c>
      <c r="N660">
        <v>2957</v>
      </c>
      <c r="O660">
        <v>6933</v>
      </c>
      <c r="P660" t="s">
        <v>36</v>
      </c>
      <c r="Q660">
        <v>0.12512681772066284</v>
      </c>
      <c r="R660" t="s">
        <v>37</v>
      </c>
      <c r="S660">
        <v>30.156430162162163</v>
      </c>
      <c r="T660">
        <v>0.42651088994663205</v>
      </c>
      <c r="U660" t="s">
        <v>29</v>
      </c>
      <c r="V660">
        <v>0</v>
      </c>
    </row>
    <row r="661" spans="1:22" x14ac:dyDescent="0.3">
      <c r="A661" s="1">
        <v>45467</v>
      </c>
      <c r="B661" t="s">
        <v>30</v>
      </c>
      <c r="C661" t="s">
        <v>23</v>
      </c>
      <c r="D661" t="s">
        <v>24</v>
      </c>
      <c r="E661" t="s">
        <v>45</v>
      </c>
      <c r="F661" t="s">
        <v>26</v>
      </c>
      <c r="G661">
        <v>627</v>
      </c>
      <c r="H661">
        <v>4890</v>
      </c>
      <c r="I661">
        <v>3494.7488579999999</v>
      </c>
      <c r="J661" t="b">
        <v>1</v>
      </c>
      <c r="K661">
        <v>18</v>
      </c>
      <c r="L661" t="b">
        <v>0</v>
      </c>
      <c r="M661">
        <v>68605.474969999996</v>
      </c>
      <c r="N661">
        <v>3849</v>
      </c>
      <c r="O661">
        <v>7655</v>
      </c>
      <c r="P661" t="s">
        <v>27</v>
      </c>
      <c r="Q661">
        <v>0.16289945440374123</v>
      </c>
      <c r="R661" t="s">
        <v>37</v>
      </c>
      <c r="S661">
        <v>5.5737621339712922</v>
      </c>
      <c r="T661">
        <v>0.50280862181580666</v>
      </c>
      <c r="U661" t="s">
        <v>29</v>
      </c>
      <c r="V661">
        <v>0</v>
      </c>
    </row>
    <row r="662" spans="1:22" x14ac:dyDescent="0.3">
      <c r="A662" s="1">
        <v>45466</v>
      </c>
      <c r="B662" t="s">
        <v>38</v>
      </c>
      <c r="C662" t="s">
        <v>31</v>
      </c>
      <c r="D662" t="s">
        <v>24</v>
      </c>
      <c r="E662" t="s">
        <v>25</v>
      </c>
      <c r="F662" t="s">
        <v>43</v>
      </c>
      <c r="G662">
        <v>109</v>
      </c>
      <c r="H662">
        <v>2808</v>
      </c>
      <c r="I662">
        <v>14049.093140000001</v>
      </c>
      <c r="J662" t="b">
        <v>1</v>
      </c>
      <c r="K662">
        <v>28</v>
      </c>
      <c r="L662" t="b">
        <v>0</v>
      </c>
      <c r="M662">
        <v>16287.43411</v>
      </c>
      <c r="N662">
        <v>2136</v>
      </c>
      <c r="O662">
        <v>9665</v>
      </c>
      <c r="P662" t="s">
        <v>27</v>
      </c>
      <c r="Q662">
        <v>5.1029962546816479E-2</v>
      </c>
      <c r="R662" t="s">
        <v>37</v>
      </c>
      <c r="S662">
        <v>128.8907627522936</v>
      </c>
      <c r="T662">
        <v>0.22100362131401965</v>
      </c>
      <c r="U662" t="s">
        <v>34</v>
      </c>
      <c r="V662">
        <v>0</v>
      </c>
    </row>
    <row r="663" spans="1:22" x14ac:dyDescent="0.3">
      <c r="A663" s="1">
        <v>45465</v>
      </c>
      <c r="B663" t="s">
        <v>22</v>
      </c>
      <c r="C663" t="s">
        <v>31</v>
      </c>
      <c r="D663" t="s">
        <v>24</v>
      </c>
      <c r="E663" t="s">
        <v>25</v>
      </c>
      <c r="F663" t="s">
        <v>26</v>
      </c>
      <c r="G663">
        <v>88</v>
      </c>
      <c r="H663">
        <v>1464</v>
      </c>
      <c r="I663">
        <v>9523.3931969999994</v>
      </c>
      <c r="J663" t="b">
        <v>1</v>
      </c>
      <c r="K663">
        <v>4</v>
      </c>
      <c r="L663" t="b">
        <v>0</v>
      </c>
      <c r="M663">
        <v>14100.84806</v>
      </c>
      <c r="N663">
        <v>1651</v>
      </c>
      <c r="O663">
        <v>5092</v>
      </c>
      <c r="P663" t="s">
        <v>36</v>
      </c>
      <c r="Q663">
        <v>5.3301029678982433E-2</v>
      </c>
      <c r="R663" t="s">
        <v>40</v>
      </c>
      <c r="S663">
        <v>108.22037723863636</v>
      </c>
      <c r="T663">
        <v>0.3242340926944226</v>
      </c>
      <c r="U663" t="s">
        <v>34</v>
      </c>
      <c r="V663">
        <v>0</v>
      </c>
    </row>
    <row r="664" spans="1:22" x14ac:dyDescent="0.3">
      <c r="A664" s="1">
        <v>45464</v>
      </c>
      <c r="B664" t="s">
        <v>30</v>
      </c>
      <c r="C664" t="s">
        <v>31</v>
      </c>
      <c r="D664" t="s">
        <v>24</v>
      </c>
      <c r="E664" t="s">
        <v>33</v>
      </c>
      <c r="F664" t="s">
        <v>43</v>
      </c>
      <c r="G664">
        <v>837</v>
      </c>
      <c r="H664">
        <v>1838</v>
      </c>
      <c r="I664">
        <v>2232.0088169999999</v>
      </c>
      <c r="J664" t="b">
        <v>0</v>
      </c>
      <c r="K664">
        <v>1</v>
      </c>
      <c r="L664" t="b">
        <v>0</v>
      </c>
      <c r="M664">
        <v>108880.1223</v>
      </c>
      <c r="N664">
        <v>2469.5</v>
      </c>
      <c r="O664">
        <v>5071</v>
      </c>
      <c r="P664" t="s">
        <v>36</v>
      </c>
      <c r="Q664">
        <v>0.33893500708645474</v>
      </c>
      <c r="R664" t="s">
        <v>40</v>
      </c>
      <c r="S664">
        <v>2.6666772007168458</v>
      </c>
      <c r="T664">
        <v>0.48698481561822127</v>
      </c>
      <c r="U664" t="s">
        <v>29</v>
      </c>
      <c r="V664">
        <v>0</v>
      </c>
    </row>
    <row r="665" spans="1:22" x14ac:dyDescent="0.3">
      <c r="A665" s="1">
        <v>45463</v>
      </c>
      <c r="B665" t="s">
        <v>42</v>
      </c>
      <c r="C665" t="s">
        <v>41</v>
      </c>
      <c r="D665" t="s">
        <v>32</v>
      </c>
      <c r="E665" t="s">
        <v>45</v>
      </c>
      <c r="F665" t="s">
        <v>26</v>
      </c>
      <c r="G665">
        <v>737</v>
      </c>
      <c r="H665">
        <v>3101</v>
      </c>
      <c r="I665">
        <v>954.46869849999996</v>
      </c>
      <c r="J665" t="b">
        <v>0</v>
      </c>
      <c r="K665">
        <v>27</v>
      </c>
      <c r="L665" t="b">
        <v>0</v>
      </c>
      <c r="M665">
        <v>122611.60219999999</v>
      </c>
      <c r="N665">
        <v>3732</v>
      </c>
      <c r="O665">
        <v>6220</v>
      </c>
      <c r="P665" t="s">
        <v>36</v>
      </c>
      <c r="Q665">
        <v>0.197481243301179</v>
      </c>
      <c r="R665" t="s">
        <v>37</v>
      </c>
      <c r="S665">
        <v>1.2950728609226594</v>
      </c>
      <c r="T665">
        <v>0.6</v>
      </c>
      <c r="U665" t="s">
        <v>29</v>
      </c>
      <c r="V665">
        <v>0</v>
      </c>
    </row>
    <row r="666" spans="1:22" x14ac:dyDescent="0.3">
      <c r="A666" s="1">
        <v>45462</v>
      </c>
      <c r="B666" t="s">
        <v>38</v>
      </c>
      <c r="C666" t="s">
        <v>23</v>
      </c>
      <c r="D666" t="s">
        <v>24</v>
      </c>
      <c r="E666" t="s">
        <v>45</v>
      </c>
      <c r="F666" t="s">
        <v>26</v>
      </c>
      <c r="G666">
        <v>787</v>
      </c>
      <c r="H666">
        <v>4363</v>
      </c>
      <c r="I666">
        <v>4360.3567720000001</v>
      </c>
      <c r="J666" t="b">
        <v>1</v>
      </c>
      <c r="K666">
        <v>29</v>
      </c>
      <c r="L666" t="b">
        <v>0</v>
      </c>
      <c r="M666">
        <v>66783.092369999998</v>
      </c>
      <c r="N666">
        <v>2790</v>
      </c>
      <c r="O666">
        <v>8658</v>
      </c>
      <c r="P666" t="s">
        <v>27</v>
      </c>
      <c r="Q666">
        <v>0.28207885304659497</v>
      </c>
      <c r="R666" t="s">
        <v>37</v>
      </c>
      <c r="S666">
        <v>5.5404787445997457</v>
      </c>
      <c r="T666">
        <v>0.32224532224532226</v>
      </c>
      <c r="U666" t="s">
        <v>34</v>
      </c>
      <c r="V666">
        <v>0</v>
      </c>
    </row>
    <row r="667" spans="1:22" x14ac:dyDescent="0.3">
      <c r="A667" s="1">
        <v>45461</v>
      </c>
      <c r="B667" t="s">
        <v>30</v>
      </c>
      <c r="C667" t="s">
        <v>41</v>
      </c>
      <c r="D667" t="s">
        <v>24</v>
      </c>
      <c r="E667" t="s">
        <v>45</v>
      </c>
      <c r="F667" t="s">
        <v>26</v>
      </c>
      <c r="G667">
        <v>554</v>
      </c>
      <c r="H667">
        <v>1217</v>
      </c>
      <c r="I667">
        <v>8981.4979629999998</v>
      </c>
      <c r="J667" t="b">
        <v>1</v>
      </c>
      <c r="K667">
        <v>3</v>
      </c>
      <c r="L667" t="b">
        <v>0</v>
      </c>
      <c r="M667">
        <v>16464.809420000001</v>
      </c>
      <c r="N667">
        <v>1866</v>
      </c>
      <c r="O667">
        <v>8977</v>
      </c>
      <c r="P667" t="s">
        <v>36</v>
      </c>
      <c r="Q667">
        <v>0.29689174705251875</v>
      </c>
      <c r="R667" t="s">
        <v>40</v>
      </c>
      <c r="S667">
        <v>16.212090185920577</v>
      </c>
      <c r="T667">
        <v>0.20786454272028518</v>
      </c>
      <c r="U667" t="s">
        <v>34</v>
      </c>
      <c r="V667">
        <v>0</v>
      </c>
    </row>
    <row r="668" spans="1:22" x14ac:dyDescent="0.3">
      <c r="A668" s="1">
        <v>45460</v>
      </c>
      <c r="B668" t="s">
        <v>22</v>
      </c>
      <c r="C668" t="s">
        <v>23</v>
      </c>
      <c r="D668" t="s">
        <v>24</v>
      </c>
      <c r="E668" t="s">
        <v>33</v>
      </c>
      <c r="F668" t="s">
        <v>26</v>
      </c>
      <c r="G668">
        <v>913</v>
      </c>
      <c r="H668">
        <v>2515</v>
      </c>
      <c r="I668">
        <v>11556.743549999999</v>
      </c>
      <c r="J668" t="b">
        <v>1</v>
      </c>
      <c r="K668">
        <v>19</v>
      </c>
      <c r="L668" t="b">
        <v>0</v>
      </c>
      <c r="M668">
        <v>169670.2164</v>
      </c>
      <c r="N668">
        <v>3413.5</v>
      </c>
      <c r="O668">
        <v>9605</v>
      </c>
      <c r="P668" t="s">
        <v>36</v>
      </c>
      <c r="Q668">
        <v>0.2674674088179288</v>
      </c>
      <c r="R668" t="s">
        <v>37</v>
      </c>
      <c r="S668">
        <v>12.657988554216866</v>
      </c>
      <c r="T668">
        <v>0.35538781884435189</v>
      </c>
      <c r="U668" t="s">
        <v>34</v>
      </c>
      <c r="V668">
        <v>0</v>
      </c>
    </row>
    <row r="669" spans="1:22" x14ac:dyDescent="0.3">
      <c r="A669" s="1">
        <v>45459</v>
      </c>
      <c r="B669" t="s">
        <v>22</v>
      </c>
      <c r="C669" t="s">
        <v>31</v>
      </c>
      <c r="D669" t="s">
        <v>24</v>
      </c>
      <c r="E669" t="s">
        <v>33</v>
      </c>
      <c r="F669" t="s">
        <v>39</v>
      </c>
      <c r="G669">
        <v>571</v>
      </c>
      <c r="H669">
        <v>4312</v>
      </c>
      <c r="I669">
        <v>9824.3844059999992</v>
      </c>
      <c r="J669" t="b">
        <v>1</v>
      </c>
      <c r="K669">
        <v>23</v>
      </c>
      <c r="L669" t="b">
        <v>0</v>
      </c>
      <c r="M669">
        <v>109510.083</v>
      </c>
      <c r="N669">
        <v>3647.5</v>
      </c>
      <c r="O669">
        <v>8006</v>
      </c>
      <c r="P669" t="s">
        <v>27</v>
      </c>
      <c r="Q669">
        <v>0.15654557916381082</v>
      </c>
      <c r="R669" t="s">
        <v>37</v>
      </c>
      <c r="S669">
        <v>17.205576893169876</v>
      </c>
      <c r="T669">
        <v>0.45559580314763926</v>
      </c>
      <c r="U669" t="s">
        <v>29</v>
      </c>
      <c r="V669">
        <v>0</v>
      </c>
    </row>
    <row r="670" spans="1:22" x14ac:dyDescent="0.3">
      <c r="A670" s="1">
        <v>45458</v>
      </c>
      <c r="B670" t="s">
        <v>42</v>
      </c>
      <c r="C670" t="s">
        <v>31</v>
      </c>
      <c r="D670" t="s">
        <v>35</v>
      </c>
      <c r="E670" t="s">
        <v>25</v>
      </c>
      <c r="F670" t="s">
        <v>26</v>
      </c>
      <c r="G670">
        <v>250</v>
      </c>
      <c r="H670">
        <v>2983</v>
      </c>
      <c r="I670">
        <v>1714.969102</v>
      </c>
      <c r="J670" t="b">
        <v>1</v>
      </c>
      <c r="K670">
        <v>22</v>
      </c>
      <c r="L670" t="b">
        <v>0</v>
      </c>
      <c r="M670">
        <v>8979.6914300000008</v>
      </c>
      <c r="N670">
        <v>3401.5</v>
      </c>
      <c r="O670">
        <v>7543</v>
      </c>
      <c r="P670" t="s">
        <v>36</v>
      </c>
      <c r="Q670">
        <v>7.3496986623548435E-2</v>
      </c>
      <c r="R670" t="s">
        <v>37</v>
      </c>
      <c r="S670">
        <v>6.8598764079999999</v>
      </c>
      <c r="T670">
        <v>0.45094789871403951</v>
      </c>
      <c r="U670" t="s">
        <v>29</v>
      </c>
      <c r="V670">
        <v>0</v>
      </c>
    </row>
    <row r="671" spans="1:22" x14ac:dyDescent="0.3">
      <c r="A671" s="1">
        <v>45457</v>
      </c>
      <c r="B671" t="s">
        <v>22</v>
      </c>
      <c r="C671" t="s">
        <v>44</v>
      </c>
      <c r="D671" t="s">
        <v>46</v>
      </c>
      <c r="E671" t="s">
        <v>25</v>
      </c>
      <c r="F671" t="s">
        <v>26</v>
      </c>
      <c r="G671">
        <v>907</v>
      </c>
      <c r="H671">
        <v>3820</v>
      </c>
      <c r="I671">
        <v>9312.7873600000003</v>
      </c>
      <c r="J671" t="b">
        <v>0</v>
      </c>
      <c r="K671">
        <v>7</v>
      </c>
      <c r="L671" t="b">
        <v>0</v>
      </c>
      <c r="M671">
        <v>169352.74660000001</v>
      </c>
      <c r="N671">
        <v>2630.5</v>
      </c>
      <c r="O671">
        <v>5926</v>
      </c>
      <c r="P671" t="s">
        <v>27</v>
      </c>
      <c r="Q671">
        <v>0.34480136856111004</v>
      </c>
      <c r="R671" t="s">
        <v>40</v>
      </c>
      <c r="S671">
        <v>10.267681764057333</v>
      </c>
      <c r="T671">
        <v>0.44389132635842055</v>
      </c>
      <c r="U671" t="s">
        <v>29</v>
      </c>
      <c r="V671">
        <v>0</v>
      </c>
    </row>
    <row r="672" spans="1:22" x14ac:dyDescent="0.3">
      <c r="A672" s="1">
        <v>45456</v>
      </c>
      <c r="B672" t="s">
        <v>38</v>
      </c>
      <c r="C672" t="s">
        <v>44</v>
      </c>
      <c r="D672" t="s">
        <v>32</v>
      </c>
      <c r="E672" t="s">
        <v>45</v>
      </c>
      <c r="F672" t="s">
        <v>26</v>
      </c>
      <c r="G672">
        <v>637</v>
      </c>
      <c r="H672">
        <v>1441</v>
      </c>
      <c r="I672">
        <v>3589.012138</v>
      </c>
      <c r="J672" t="b">
        <v>1</v>
      </c>
      <c r="K672">
        <v>15</v>
      </c>
      <c r="L672" t="b">
        <v>0</v>
      </c>
      <c r="M672">
        <v>94545.020950000006</v>
      </c>
      <c r="N672">
        <v>1792</v>
      </c>
      <c r="O672">
        <v>6908</v>
      </c>
      <c r="P672" t="s">
        <v>36</v>
      </c>
      <c r="Q672">
        <v>0.35546875</v>
      </c>
      <c r="R672" t="s">
        <v>37</v>
      </c>
      <c r="S672">
        <v>5.6342419748822605</v>
      </c>
      <c r="T672">
        <v>0.25940938042848871</v>
      </c>
      <c r="U672" t="s">
        <v>34</v>
      </c>
      <c r="V672">
        <v>0</v>
      </c>
    </row>
    <row r="673" spans="1:22" x14ac:dyDescent="0.3">
      <c r="A673" s="1">
        <v>45455</v>
      </c>
      <c r="B673" t="s">
        <v>38</v>
      </c>
      <c r="C673" t="s">
        <v>44</v>
      </c>
      <c r="D673" t="s">
        <v>46</v>
      </c>
      <c r="E673" t="s">
        <v>45</v>
      </c>
      <c r="F673" t="s">
        <v>43</v>
      </c>
      <c r="G673">
        <v>122</v>
      </c>
      <c r="H673">
        <v>2143</v>
      </c>
      <c r="I673">
        <v>12969.140359999999</v>
      </c>
      <c r="J673" t="b">
        <v>1</v>
      </c>
      <c r="K673">
        <v>17</v>
      </c>
      <c r="L673" t="b">
        <v>0</v>
      </c>
      <c r="M673">
        <v>13737.97294</v>
      </c>
      <c r="N673">
        <v>1565.5</v>
      </c>
      <c r="O673">
        <v>7267</v>
      </c>
      <c r="P673" t="s">
        <v>27</v>
      </c>
      <c r="Q673">
        <v>7.7930373682529544E-2</v>
      </c>
      <c r="R673" t="s">
        <v>37</v>
      </c>
      <c r="S673">
        <v>106.30442918032786</v>
      </c>
      <c r="T673">
        <v>0.21542589789459199</v>
      </c>
      <c r="U673" t="s">
        <v>34</v>
      </c>
      <c r="V673">
        <v>0</v>
      </c>
    </row>
    <row r="674" spans="1:22" x14ac:dyDescent="0.3">
      <c r="A674" s="1">
        <v>45454</v>
      </c>
      <c r="B674" t="s">
        <v>38</v>
      </c>
      <c r="C674" t="s">
        <v>41</v>
      </c>
      <c r="D674" t="s">
        <v>46</v>
      </c>
      <c r="E674" t="s">
        <v>45</v>
      </c>
      <c r="F674" t="s">
        <v>43</v>
      </c>
      <c r="G674">
        <v>473</v>
      </c>
      <c r="H674">
        <v>988</v>
      </c>
      <c r="I674">
        <v>8279.6213220000009</v>
      </c>
      <c r="J674" t="b">
        <v>1</v>
      </c>
      <c r="K674">
        <v>9</v>
      </c>
      <c r="L674" t="b">
        <v>0</v>
      </c>
      <c r="M674">
        <v>35363.530959999996</v>
      </c>
      <c r="N674">
        <v>2144.5</v>
      </c>
      <c r="O674">
        <v>6883</v>
      </c>
      <c r="P674" t="s">
        <v>36</v>
      </c>
      <c r="Q674">
        <v>0.2205642340871998</v>
      </c>
      <c r="R674" t="s">
        <v>28</v>
      </c>
      <c r="S674">
        <v>17.504484824524315</v>
      </c>
      <c r="T674">
        <v>0.31156472468400409</v>
      </c>
      <c r="U674" t="s">
        <v>34</v>
      </c>
      <c r="V674">
        <v>0</v>
      </c>
    </row>
    <row r="675" spans="1:22" x14ac:dyDescent="0.3">
      <c r="A675" s="1">
        <v>45453</v>
      </c>
      <c r="B675" t="s">
        <v>30</v>
      </c>
      <c r="C675" t="s">
        <v>23</v>
      </c>
      <c r="D675" t="s">
        <v>32</v>
      </c>
      <c r="E675" t="s">
        <v>33</v>
      </c>
      <c r="F675" t="s">
        <v>26</v>
      </c>
      <c r="G675">
        <v>61</v>
      </c>
      <c r="H675">
        <v>3301</v>
      </c>
      <c r="I675">
        <v>12378.89608</v>
      </c>
      <c r="J675" t="b">
        <v>1</v>
      </c>
      <c r="K675">
        <v>17</v>
      </c>
      <c r="L675" t="b">
        <v>0</v>
      </c>
      <c r="M675">
        <v>4196.271632</v>
      </c>
      <c r="N675">
        <v>2838.5</v>
      </c>
      <c r="O675">
        <v>7427</v>
      </c>
      <c r="P675" t="s">
        <v>27</v>
      </c>
      <c r="Q675">
        <v>2.1490223709705832E-2</v>
      </c>
      <c r="R675" t="s">
        <v>37</v>
      </c>
      <c r="S675">
        <v>202.93272262295082</v>
      </c>
      <c r="T675">
        <v>0.38218661639962298</v>
      </c>
      <c r="U675" t="s">
        <v>34</v>
      </c>
      <c r="V675">
        <v>0</v>
      </c>
    </row>
    <row r="676" spans="1:22" x14ac:dyDescent="0.3">
      <c r="A676" s="1">
        <v>45452</v>
      </c>
      <c r="B676" t="s">
        <v>30</v>
      </c>
      <c r="C676" t="s">
        <v>44</v>
      </c>
      <c r="D676" t="s">
        <v>46</v>
      </c>
      <c r="E676" t="s">
        <v>45</v>
      </c>
      <c r="F676" t="s">
        <v>26</v>
      </c>
      <c r="G676">
        <v>371</v>
      </c>
      <c r="H676">
        <v>2376</v>
      </c>
      <c r="I676">
        <v>5189.9213989999998</v>
      </c>
      <c r="J676" t="b">
        <v>1</v>
      </c>
      <c r="K676">
        <v>25</v>
      </c>
      <c r="L676" t="b">
        <v>0</v>
      </c>
      <c r="M676">
        <v>21648.1836</v>
      </c>
      <c r="N676">
        <v>3649.5</v>
      </c>
      <c r="O676">
        <v>5711</v>
      </c>
      <c r="P676" t="s">
        <v>36</v>
      </c>
      <c r="Q676">
        <v>0.10165776133716947</v>
      </c>
      <c r="R676" t="s">
        <v>37</v>
      </c>
      <c r="S676">
        <v>13.989006466307277</v>
      </c>
      <c r="T676">
        <v>0.63902994221677467</v>
      </c>
      <c r="U676" t="s">
        <v>29</v>
      </c>
      <c r="V676">
        <v>0</v>
      </c>
    </row>
    <row r="677" spans="1:22" x14ac:dyDescent="0.3">
      <c r="A677" s="1">
        <v>45451</v>
      </c>
      <c r="B677" t="s">
        <v>38</v>
      </c>
      <c r="C677" t="s">
        <v>44</v>
      </c>
      <c r="D677" t="s">
        <v>46</v>
      </c>
      <c r="E677" t="s">
        <v>25</v>
      </c>
      <c r="F677" t="s">
        <v>26</v>
      </c>
      <c r="G677">
        <v>650</v>
      </c>
      <c r="H677">
        <v>4923</v>
      </c>
      <c r="I677">
        <v>3547.7835460000001</v>
      </c>
      <c r="J677" t="b">
        <v>1</v>
      </c>
      <c r="K677">
        <v>2</v>
      </c>
      <c r="L677" t="b">
        <v>0</v>
      </c>
      <c r="M677">
        <v>34559.013910000001</v>
      </c>
      <c r="N677">
        <v>4863.5</v>
      </c>
      <c r="O677">
        <v>7720</v>
      </c>
      <c r="P677" t="s">
        <v>27</v>
      </c>
      <c r="Q677">
        <v>0.13364860697028888</v>
      </c>
      <c r="R677" t="s">
        <v>40</v>
      </c>
      <c r="S677">
        <v>5.4581285323076925</v>
      </c>
      <c r="T677">
        <v>0.62998704663212435</v>
      </c>
      <c r="U677" t="s">
        <v>29</v>
      </c>
      <c r="V677">
        <v>0</v>
      </c>
    </row>
    <row r="678" spans="1:22" x14ac:dyDescent="0.3">
      <c r="A678" s="1">
        <v>45450</v>
      </c>
      <c r="B678" t="s">
        <v>30</v>
      </c>
      <c r="C678" t="s">
        <v>44</v>
      </c>
      <c r="D678" t="s">
        <v>24</v>
      </c>
      <c r="E678" t="s">
        <v>25</v>
      </c>
      <c r="F678" t="s">
        <v>39</v>
      </c>
      <c r="G678">
        <v>523</v>
      </c>
      <c r="H678">
        <v>4804</v>
      </c>
      <c r="I678">
        <v>11600.378860000001</v>
      </c>
      <c r="J678" t="b">
        <v>1</v>
      </c>
      <c r="K678">
        <v>19</v>
      </c>
      <c r="L678" t="b">
        <v>0</v>
      </c>
      <c r="M678">
        <v>94670.417520000003</v>
      </c>
      <c r="N678">
        <v>4682.5</v>
      </c>
      <c r="O678">
        <v>8147</v>
      </c>
      <c r="P678" t="s">
        <v>27</v>
      </c>
      <c r="Q678">
        <v>0.11169247197010145</v>
      </c>
      <c r="R678" t="s">
        <v>37</v>
      </c>
      <c r="S678">
        <v>22.180456711281071</v>
      </c>
      <c r="T678">
        <v>0.57475144224868047</v>
      </c>
      <c r="U678" t="s">
        <v>29</v>
      </c>
      <c r="V678">
        <v>0</v>
      </c>
    </row>
    <row r="679" spans="1:22" x14ac:dyDescent="0.3">
      <c r="A679" s="1">
        <v>45449</v>
      </c>
      <c r="B679" t="s">
        <v>38</v>
      </c>
      <c r="C679" t="s">
        <v>31</v>
      </c>
      <c r="D679" t="s">
        <v>24</v>
      </c>
      <c r="E679" t="s">
        <v>33</v>
      </c>
      <c r="F679" t="s">
        <v>43</v>
      </c>
      <c r="G679">
        <v>209</v>
      </c>
      <c r="H679">
        <v>4561</v>
      </c>
      <c r="I679">
        <v>2320.9404890000001</v>
      </c>
      <c r="J679" t="b">
        <v>1</v>
      </c>
      <c r="K679">
        <v>21</v>
      </c>
      <c r="L679" t="b">
        <v>0</v>
      </c>
      <c r="M679">
        <v>13044.928760000001</v>
      </c>
      <c r="N679">
        <v>2502</v>
      </c>
      <c r="O679">
        <v>8099</v>
      </c>
      <c r="P679" t="s">
        <v>27</v>
      </c>
      <c r="Q679">
        <v>8.3533173461231014E-2</v>
      </c>
      <c r="R679" t="s">
        <v>37</v>
      </c>
      <c r="S679">
        <v>11.104978416267944</v>
      </c>
      <c r="T679">
        <v>0.30892702802815164</v>
      </c>
      <c r="U679" t="s">
        <v>34</v>
      </c>
      <c r="V679">
        <v>0</v>
      </c>
    </row>
    <row r="680" spans="1:22" x14ac:dyDescent="0.3">
      <c r="A680" s="1">
        <v>45448</v>
      </c>
      <c r="B680" t="s">
        <v>30</v>
      </c>
      <c r="C680" t="s">
        <v>31</v>
      </c>
      <c r="D680" t="s">
        <v>32</v>
      </c>
      <c r="E680" t="s">
        <v>45</v>
      </c>
      <c r="F680" t="s">
        <v>43</v>
      </c>
      <c r="G680">
        <v>211</v>
      </c>
      <c r="H680">
        <v>443</v>
      </c>
      <c r="I680">
        <v>10176.311820000001</v>
      </c>
      <c r="J680" t="b">
        <v>1</v>
      </c>
      <c r="K680">
        <v>27</v>
      </c>
      <c r="L680" t="b">
        <v>0</v>
      </c>
      <c r="M680">
        <v>29524.9398</v>
      </c>
      <c r="N680">
        <v>2533.5</v>
      </c>
      <c r="O680">
        <v>8944</v>
      </c>
      <c r="P680" t="s">
        <v>36</v>
      </c>
      <c r="Q680">
        <v>8.3283994474047759E-2</v>
      </c>
      <c r="R680" t="s">
        <v>37</v>
      </c>
      <c r="S680">
        <v>48.228965971563987</v>
      </c>
      <c r="T680">
        <v>0.28326252236135957</v>
      </c>
      <c r="U680" t="s">
        <v>34</v>
      </c>
      <c r="V680">
        <v>0</v>
      </c>
    </row>
    <row r="681" spans="1:22" x14ac:dyDescent="0.3">
      <c r="A681" s="1">
        <v>45447</v>
      </c>
      <c r="B681" t="s">
        <v>42</v>
      </c>
      <c r="C681" t="s">
        <v>44</v>
      </c>
      <c r="D681" t="s">
        <v>24</v>
      </c>
      <c r="E681" t="s">
        <v>25</v>
      </c>
      <c r="F681" t="s">
        <v>43</v>
      </c>
      <c r="G681">
        <v>385</v>
      </c>
      <c r="H681">
        <v>4624</v>
      </c>
      <c r="I681">
        <v>12363.110930000001</v>
      </c>
      <c r="J681" t="b">
        <v>1</v>
      </c>
      <c r="K681">
        <v>16</v>
      </c>
      <c r="L681" t="b">
        <v>0</v>
      </c>
      <c r="M681">
        <v>71624.787840000005</v>
      </c>
      <c r="N681">
        <v>4430</v>
      </c>
      <c r="O681">
        <v>9805</v>
      </c>
      <c r="P681" t="s">
        <v>27</v>
      </c>
      <c r="Q681">
        <v>8.6907449209932278E-2</v>
      </c>
      <c r="R681" t="s">
        <v>37</v>
      </c>
      <c r="S681">
        <v>32.111976441558447</v>
      </c>
      <c r="T681">
        <v>0.45181030086690466</v>
      </c>
      <c r="U681" t="s">
        <v>29</v>
      </c>
      <c r="V681">
        <v>0</v>
      </c>
    </row>
    <row r="682" spans="1:22" x14ac:dyDescent="0.3">
      <c r="A682" s="1">
        <v>45446</v>
      </c>
      <c r="B682" t="s">
        <v>38</v>
      </c>
      <c r="C682" t="s">
        <v>41</v>
      </c>
      <c r="D682" t="s">
        <v>46</v>
      </c>
      <c r="E682" t="s">
        <v>45</v>
      </c>
      <c r="F682" t="s">
        <v>39</v>
      </c>
      <c r="G682">
        <v>602</v>
      </c>
      <c r="H682">
        <v>4236</v>
      </c>
      <c r="I682">
        <v>10848.740750000001</v>
      </c>
      <c r="J682" t="b">
        <v>1</v>
      </c>
      <c r="K682">
        <v>14</v>
      </c>
      <c r="L682" t="b">
        <v>0</v>
      </c>
      <c r="M682">
        <v>97970.364119999998</v>
      </c>
      <c r="N682">
        <v>3786.5</v>
      </c>
      <c r="O682">
        <v>6110</v>
      </c>
      <c r="P682" t="s">
        <v>27</v>
      </c>
      <c r="Q682">
        <v>0.15898587085699195</v>
      </c>
      <c r="R682" t="s">
        <v>28</v>
      </c>
      <c r="S682">
        <v>18.021164036544853</v>
      </c>
      <c r="T682">
        <v>0.61972176759410802</v>
      </c>
      <c r="U682" t="s">
        <v>29</v>
      </c>
      <c r="V682">
        <v>0</v>
      </c>
    </row>
    <row r="683" spans="1:22" x14ac:dyDescent="0.3">
      <c r="A683" s="1">
        <v>45445</v>
      </c>
      <c r="B683" t="s">
        <v>42</v>
      </c>
      <c r="C683" t="s">
        <v>44</v>
      </c>
      <c r="D683" t="s">
        <v>32</v>
      </c>
      <c r="E683" t="s">
        <v>33</v>
      </c>
      <c r="F683" t="s">
        <v>26</v>
      </c>
      <c r="G683">
        <v>332</v>
      </c>
      <c r="H683">
        <v>3337</v>
      </c>
      <c r="I683">
        <v>13596.265020000001</v>
      </c>
      <c r="J683" t="b">
        <v>1</v>
      </c>
      <c r="K683">
        <v>11</v>
      </c>
      <c r="L683" t="b">
        <v>0</v>
      </c>
      <c r="M683">
        <v>61986.283759999998</v>
      </c>
      <c r="N683">
        <v>3312.5</v>
      </c>
      <c r="O683">
        <v>5359</v>
      </c>
      <c r="P683" t="s">
        <v>27</v>
      </c>
      <c r="Q683">
        <v>0.10022641509433962</v>
      </c>
      <c r="R683" t="s">
        <v>28</v>
      </c>
      <c r="S683">
        <v>40.952605481927712</v>
      </c>
      <c r="T683">
        <v>0.61811905206195183</v>
      </c>
      <c r="U683" t="s">
        <v>29</v>
      </c>
      <c r="V683">
        <v>0</v>
      </c>
    </row>
    <row r="684" spans="1:22" x14ac:dyDescent="0.3">
      <c r="A684" s="1">
        <v>45444</v>
      </c>
      <c r="B684" t="s">
        <v>38</v>
      </c>
      <c r="C684" t="s">
        <v>31</v>
      </c>
      <c r="D684" t="s">
        <v>35</v>
      </c>
      <c r="E684" t="s">
        <v>33</v>
      </c>
      <c r="F684" t="s">
        <v>26</v>
      </c>
      <c r="G684">
        <v>412</v>
      </c>
      <c r="H684">
        <v>3288</v>
      </c>
      <c r="I684">
        <v>14323.0874</v>
      </c>
      <c r="J684" t="b">
        <v>1</v>
      </c>
      <c r="K684">
        <v>6</v>
      </c>
      <c r="L684" t="b">
        <v>0</v>
      </c>
      <c r="M684">
        <v>32152.542720000001</v>
      </c>
      <c r="N684">
        <v>3955</v>
      </c>
      <c r="O684">
        <v>9754</v>
      </c>
      <c r="P684" t="s">
        <v>36</v>
      </c>
      <c r="Q684">
        <v>0.10417193426042984</v>
      </c>
      <c r="R684" t="s">
        <v>40</v>
      </c>
      <c r="S684">
        <v>34.76477524271845</v>
      </c>
      <c r="T684">
        <v>0.40547467705556695</v>
      </c>
      <c r="U684" t="s">
        <v>29</v>
      </c>
      <c r="V684">
        <v>0</v>
      </c>
    </row>
    <row r="685" spans="1:22" x14ac:dyDescent="0.3">
      <c r="A685" s="1">
        <v>45443</v>
      </c>
      <c r="B685" t="s">
        <v>42</v>
      </c>
      <c r="C685" t="s">
        <v>23</v>
      </c>
      <c r="D685" t="s">
        <v>35</v>
      </c>
      <c r="E685" t="s">
        <v>45</v>
      </c>
      <c r="F685" t="s">
        <v>26</v>
      </c>
      <c r="G685">
        <v>803</v>
      </c>
      <c r="H685">
        <v>4622</v>
      </c>
      <c r="I685">
        <v>5454.2813200000001</v>
      </c>
      <c r="J685" t="b">
        <v>0</v>
      </c>
      <c r="K685">
        <v>4</v>
      </c>
      <c r="L685" t="b">
        <v>0</v>
      </c>
      <c r="M685">
        <v>150687.76389999999</v>
      </c>
      <c r="N685">
        <v>3472.5</v>
      </c>
      <c r="O685">
        <v>6387</v>
      </c>
      <c r="P685" t="s">
        <v>27</v>
      </c>
      <c r="Q685">
        <v>0.23124550035997121</v>
      </c>
      <c r="R685" t="s">
        <v>40</v>
      </c>
      <c r="S685">
        <v>6.7923802241594027</v>
      </c>
      <c r="T685">
        <v>0.54368248003757635</v>
      </c>
      <c r="U685" t="s">
        <v>29</v>
      </c>
      <c r="V685">
        <v>0</v>
      </c>
    </row>
    <row r="686" spans="1:22" x14ac:dyDescent="0.3">
      <c r="A686" s="1">
        <v>45442</v>
      </c>
      <c r="B686" t="s">
        <v>30</v>
      </c>
      <c r="C686" t="s">
        <v>23</v>
      </c>
      <c r="D686" t="s">
        <v>24</v>
      </c>
      <c r="E686" t="s">
        <v>45</v>
      </c>
      <c r="F686" t="s">
        <v>43</v>
      </c>
      <c r="G686">
        <v>517</v>
      </c>
      <c r="H686">
        <v>2323</v>
      </c>
      <c r="I686">
        <v>9190.6995129999996</v>
      </c>
      <c r="J686" t="b">
        <v>1</v>
      </c>
      <c r="K686">
        <v>2</v>
      </c>
      <c r="L686" t="b">
        <v>0</v>
      </c>
      <c r="M686">
        <v>88421.915580000001</v>
      </c>
      <c r="N686">
        <v>3309.5</v>
      </c>
      <c r="O686">
        <v>6048</v>
      </c>
      <c r="P686" t="s">
        <v>36</v>
      </c>
      <c r="Q686">
        <v>0.15621695120108778</v>
      </c>
      <c r="R686" t="s">
        <v>40</v>
      </c>
      <c r="S686">
        <v>17.776981649903288</v>
      </c>
      <c r="T686">
        <v>0.54720568783068779</v>
      </c>
      <c r="U686" t="s">
        <v>29</v>
      </c>
      <c r="V686">
        <v>0</v>
      </c>
    </row>
    <row r="687" spans="1:22" x14ac:dyDescent="0.3">
      <c r="A687" s="1">
        <v>45441</v>
      </c>
      <c r="B687" t="s">
        <v>38</v>
      </c>
      <c r="C687" t="s">
        <v>44</v>
      </c>
      <c r="D687" t="s">
        <v>24</v>
      </c>
      <c r="E687" t="s">
        <v>25</v>
      </c>
      <c r="F687" t="s">
        <v>26</v>
      </c>
      <c r="G687">
        <v>234</v>
      </c>
      <c r="H687">
        <v>4296</v>
      </c>
      <c r="I687">
        <v>1217.933131</v>
      </c>
      <c r="J687" t="b">
        <v>1</v>
      </c>
      <c r="K687">
        <v>10</v>
      </c>
      <c r="L687" t="b">
        <v>0</v>
      </c>
      <c r="M687">
        <v>8859.5211029999991</v>
      </c>
      <c r="N687">
        <v>3490</v>
      </c>
      <c r="O687">
        <v>8875</v>
      </c>
      <c r="P687" t="s">
        <v>27</v>
      </c>
      <c r="Q687">
        <v>6.70487106017192E-2</v>
      </c>
      <c r="R687" t="s">
        <v>28</v>
      </c>
      <c r="S687">
        <v>5.2048424401709399</v>
      </c>
      <c r="T687">
        <v>0.39323943661971833</v>
      </c>
      <c r="U687" t="s">
        <v>34</v>
      </c>
      <c r="V687">
        <v>0</v>
      </c>
    </row>
    <row r="688" spans="1:22" x14ac:dyDescent="0.3">
      <c r="A688" s="1">
        <v>45440</v>
      </c>
      <c r="B688" t="s">
        <v>38</v>
      </c>
      <c r="C688" t="s">
        <v>41</v>
      </c>
      <c r="D688" t="s">
        <v>32</v>
      </c>
      <c r="E688" t="s">
        <v>33</v>
      </c>
      <c r="F688" t="s">
        <v>26</v>
      </c>
      <c r="G688">
        <v>583</v>
      </c>
      <c r="H688">
        <v>2684</v>
      </c>
      <c r="I688">
        <v>708.40780080000002</v>
      </c>
      <c r="J688" t="b">
        <v>1</v>
      </c>
      <c r="K688">
        <v>3</v>
      </c>
      <c r="L688" t="b">
        <v>0</v>
      </c>
      <c r="M688">
        <v>90371.435360000003</v>
      </c>
      <c r="N688">
        <v>2452.5</v>
      </c>
      <c r="O688">
        <v>9695</v>
      </c>
      <c r="P688" t="s">
        <v>27</v>
      </c>
      <c r="Q688">
        <v>0.23771661569826708</v>
      </c>
      <c r="R688" t="s">
        <v>40</v>
      </c>
      <c r="S688">
        <v>1.2151077200686107</v>
      </c>
      <c r="T688">
        <v>0.25296544610624033</v>
      </c>
      <c r="U688" t="s">
        <v>34</v>
      </c>
      <c r="V688">
        <v>0</v>
      </c>
    </row>
    <row r="689" spans="1:22" x14ac:dyDescent="0.3">
      <c r="A689" s="1">
        <v>45439</v>
      </c>
      <c r="B689" t="s">
        <v>30</v>
      </c>
      <c r="C689" t="s">
        <v>41</v>
      </c>
      <c r="D689" t="s">
        <v>46</v>
      </c>
      <c r="E689" t="s">
        <v>45</v>
      </c>
      <c r="F689" t="s">
        <v>26</v>
      </c>
      <c r="G689">
        <v>286</v>
      </c>
      <c r="H689">
        <v>2221</v>
      </c>
      <c r="I689">
        <v>10669.77162</v>
      </c>
      <c r="J689" t="b">
        <v>1</v>
      </c>
      <c r="K689">
        <v>20</v>
      </c>
      <c r="L689" t="b">
        <v>0</v>
      </c>
      <c r="M689">
        <v>12400.15978</v>
      </c>
      <c r="N689">
        <v>1656.5</v>
      </c>
      <c r="O689">
        <v>5823</v>
      </c>
      <c r="P689" t="s">
        <v>27</v>
      </c>
      <c r="Q689">
        <v>0.17265318442499245</v>
      </c>
      <c r="R689" t="s">
        <v>37</v>
      </c>
      <c r="S689">
        <v>37.306893776223774</v>
      </c>
      <c r="T689">
        <v>0.28447535634552634</v>
      </c>
      <c r="U689" t="s">
        <v>34</v>
      </c>
      <c r="V689">
        <v>0</v>
      </c>
    </row>
    <row r="690" spans="1:22" x14ac:dyDescent="0.3">
      <c r="A690" s="1">
        <v>45438</v>
      </c>
      <c r="B690" t="s">
        <v>38</v>
      </c>
      <c r="C690" t="s">
        <v>41</v>
      </c>
      <c r="D690" t="s">
        <v>24</v>
      </c>
      <c r="E690" t="s">
        <v>25</v>
      </c>
      <c r="F690" t="s">
        <v>26</v>
      </c>
      <c r="G690">
        <v>769</v>
      </c>
      <c r="H690">
        <v>1092</v>
      </c>
      <c r="I690">
        <v>4237.7880789999999</v>
      </c>
      <c r="J690" t="b">
        <v>1</v>
      </c>
      <c r="K690">
        <v>19</v>
      </c>
      <c r="L690" t="b">
        <v>0</v>
      </c>
      <c r="M690">
        <v>85964.856010000003</v>
      </c>
      <c r="N690">
        <v>1843</v>
      </c>
      <c r="O690">
        <v>9165</v>
      </c>
      <c r="P690" t="s">
        <v>36</v>
      </c>
      <c r="Q690">
        <v>0.4172544763971785</v>
      </c>
      <c r="R690" t="s">
        <v>37</v>
      </c>
      <c r="S690">
        <v>5.5107777360208061</v>
      </c>
      <c r="T690">
        <v>0.20109110747408621</v>
      </c>
      <c r="U690" t="s">
        <v>34</v>
      </c>
      <c r="V690">
        <v>0</v>
      </c>
    </row>
    <row r="691" spans="1:22" x14ac:dyDescent="0.3">
      <c r="A691" s="1">
        <v>45437</v>
      </c>
      <c r="B691" t="s">
        <v>22</v>
      </c>
      <c r="C691" t="s">
        <v>41</v>
      </c>
      <c r="D691" t="s">
        <v>32</v>
      </c>
      <c r="E691" t="s">
        <v>25</v>
      </c>
      <c r="F691" t="s">
        <v>26</v>
      </c>
      <c r="G691">
        <v>295</v>
      </c>
      <c r="H691">
        <v>2594</v>
      </c>
      <c r="I691">
        <v>7788.1366770000004</v>
      </c>
      <c r="J691" t="b">
        <v>1</v>
      </c>
      <c r="K691">
        <v>24</v>
      </c>
      <c r="L691" t="b">
        <v>0</v>
      </c>
      <c r="M691">
        <v>44460.271370000002</v>
      </c>
      <c r="N691">
        <v>3183</v>
      </c>
      <c r="O691">
        <v>7008</v>
      </c>
      <c r="P691" t="s">
        <v>36</v>
      </c>
      <c r="Q691">
        <v>9.2679861765629909E-2</v>
      </c>
      <c r="R691" t="s">
        <v>37</v>
      </c>
      <c r="S691">
        <v>26.400463311864407</v>
      </c>
      <c r="T691">
        <v>0.45419520547945208</v>
      </c>
      <c r="U691" t="s">
        <v>29</v>
      </c>
      <c r="V691">
        <v>0</v>
      </c>
    </row>
    <row r="692" spans="1:22" x14ac:dyDescent="0.3">
      <c r="A692" s="1">
        <v>45436</v>
      </c>
      <c r="B692" t="s">
        <v>38</v>
      </c>
      <c r="C692" t="s">
        <v>44</v>
      </c>
      <c r="D692" t="s">
        <v>35</v>
      </c>
      <c r="E692" t="s">
        <v>33</v>
      </c>
      <c r="F692" t="s">
        <v>26</v>
      </c>
      <c r="G692">
        <v>470</v>
      </c>
      <c r="H692">
        <v>3772</v>
      </c>
      <c r="I692">
        <v>8278.8206719999998</v>
      </c>
      <c r="J692" t="b">
        <v>1</v>
      </c>
      <c r="K692">
        <v>16</v>
      </c>
      <c r="L692" t="b">
        <v>0</v>
      </c>
      <c r="M692">
        <v>37860.332289999998</v>
      </c>
      <c r="N692">
        <v>2966</v>
      </c>
      <c r="O692">
        <v>5006</v>
      </c>
      <c r="P692" t="s">
        <v>27</v>
      </c>
      <c r="Q692">
        <v>0.15846257585974377</v>
      </c>
      <c r="R692" t="s">
        <v>37</v>
      </c>
      <c r="S692">
        <v>17.614512068085105</v>
      </c>
      <c r="T692">
        <v>0.59248901318417901</v>
      </c>
      <c r="U692" t="s">
        <v>29</v>
      </c>
      <c r="V692">
        <v>0</v>
      </c>
    </row>
    <row r="693" spans="1:22" x14ac:dyDescent="0.3">
      <c r="A693" s="1">
        <v>45435</v>
      </c>
      <c r="B693" t="s">
        <v>42</v>
      </c>
      <c r="C693" t="s">
        <v>23</v>
      </c>
      <c r="D693" t="s">
        <v>32</v>
      </c>
      <c r="E693" t="s">
        <v>33</v>
      </c>
      <c r="F693" t="s">
        <v>26</v>
      </c>
      <c r="G693">
        <v>352</v>
      </c>
      <c r="H693">
        <v>2160</v>
      </c>
      <c r="I693">
        <v>14751.47171</v>
      </c>
      <c r="J693" t="b">
        <v>1</v>
      </c>
      <c r="K693">
        <v>27</v>
      </c>
      <c r="L693" t="b">
        <v>0</v>
      </c>
      <c r="M693">
        <v>39102.458079999997</v>
      </c>
      <c r="N693">
        <v>3497</v>
      </c>
      <c r="O693">
        <v>5948</v>
      </c>
      <c r="P693" t="s">
        <v>36</v>
      </c>
      <c r="Q693">
        <v>0.10065770660566199</v>
      </c>
      <c r="R693" t="s">
        <v>37</v>
      </c>
      <c r="S693">
        <v>41.90759008522727</v>
      </c>
      <c r="T693">
        <v>0.58792871553463344</v>
      </c>
      <c r="U693" t="s">
        <v>29</v>
      </c>
      <c r="V693">
        <v>0</v>
      </c>
    </row>
    <row r="694" spans="1:22" x14ac:dyDescent="0.3">
      <c r="A694" s="1">
        <v>45434</v>
      </c>
      <c r="B694" t="s">
        <v>30</v>
      </c>
      <c r="C694" t="s">
        <v>44</v>
      </c>
      <c r="D694" t="s">
        <v>24</v>
      </c>
      <c r="E694" t="s">
        <v>25</v>
      </c>
      <c r="F694" t="s">
        <v>43</v>
      </c>
      <c r="G694">
        <v>603</v>
      </c>
      <c r="H694">
        <v>4834</v>
      </c>
      <c r="I694">
        <v>6295.0410300000003</v>
      </c>
      <c r="J694" t="b">
        <v>0</v>
      </c>
      <c r="K694">
        <v>8</v>
      </c>
      <c r="L694" t="b">
        <v>0</v>
      </c>
      <c r="M694">
        <v>41768.474410000003</v>
      </c>
      <c r="N694">
        <v>2531.5</v>
      </c>
      <c r="O694">
        <v>5316</v>
      </c>
      <c r="P694" t="s">
        <v>27</v>
      </c>
      <c r="Q694">
        <v>0.23819869642504443</v>
      </c>
      <c r="R694" t="s">
        <v>28</v>
      </c>
      <c r="S694">
        <v>10.43953736318408</v>
      </c>
      <c r="T694">
        <v>0.47620391271632806</v>
      </c>
      <c r="U694" t="s">
        <v>29</v>
      </c>
      <c r="V694">
        <v>0</v>
      </c>
    </row>
    <row r="695" spans="1:22" x14ac:dyDescent="0.3">
      <c r="A695" s="1">
        <v>45433</v>
      </c>
      <c r="B695" t="s">
        <v>42</v>
      </c>
      <c r="C695" t="s">
        <v>31</v>
      </c>
      <c r="D695" t="s">
        <v>32</v>
      </c>
      <c r="E695" t="s">
        <v>33</v>
      </c>
      <c r="F695" t="s">
        <v>43</v>
      </c>
      <c r="G695">
        <v>423</v>
      </c>
      <c r="H695">
        <v>229</v>
      </c>
      <c r="I695">
        <v>4466.3594210000001</v>
      </c>
      <c r="J695" t="b">
        <v>1</v>
      </c>
      <c r="K695">
        <v>4</v>
      </c>
      <c r="L695" t="b">
        <v>0</v>
      </c>
      <c r="M695">
        <v>36247.840270000001</v>
      </c>
      <c r="N695">
        <v>897</v>
      </c>
      <c r="O695">
        <v>8821</v>
      </c>
      <c r="P695" t="s">
        <v>36</v>
      </c>
      <c r="Q695">
        <v>0.47157190635451507</v>
      </c>
      <c r="R695" t="s">
        <v>40</v>
      </c>
      <c r="S695">
        <v>10.55876931678487</v>
      </c>
      <c r="T695">
        <v>0.10168915088992178</v>
      </c>
      <c r="U695" t="s">
        <v>34</v>
      </c>
      <c r="V695">
        <v>0</v>
      </c>
    </row>
    <row r="696" spans="1:22" x14ac:dyDescent="0.3">
      <c r="A696" s="1">
        <v>45432</v>
      </c>
      <c r="B696" t="s">
        <v>22</v>
      </c>
      <c r="C696" t="s">
        <v>23</v>
      </c>
      <c r="D696" t="s">
        <v>35</v>
      </c>
      <c r="E696" t="s">
        <v>33</v>
      </c>
      <c r="F696" t="s">
        <v>26</v>
      </c>
      <c r="G696">
        <v>410</v>
      </c>
      <c r="H696">
        <v>1565</v>
      </c>
      <c r="I696">
        <v>14491.46472</v>
      </c>
      <c r="J696" t="b">
        <v>1</v>
      </c>
      <c r="K696">
        <v>29</v>
      </c>
      <c r="L696" t="b">
        <v>0</v>
      </c>
      <c r="M696">
        <v>9448.7951479999992</v>
      </c>
      <c r="N696">
        <v>3129</v>
      </c>
      <c r="O696">
        <v>9948</v>
      </c>
      <c r="P696" t="s">
        <v>36</v>
      </c>
      <c r="Q696">
        <v>0.1310322786832854</v>
      </c>
      <c r="R696" t="s">
        <v>37</v>
      </c>
      <c r="S696">
        <v>35.345035902439022</v>
      </c>
      <c r="T696">
        <v>0.31453558504221957</v>
      </c>
      <c r="U696" t="s">
        <v>34</v>
      </c>
      <c r="V696">
        <v>0</v>
      </c>
    </row>
    <row r="697" spans="1:22" x14ac:dyDescent="0.3">
      <c r="A697" s="1">
        <v>45431</v>
      </c>
      <c r="B697" t="s">
        <v>30</v>
      </c>
      <c r="C697" t="s">
        <v>31</v>
      </c>
      <c r="D697" t="s">
        <v>32</v>
      </c>
      <c r="E697" t="s">
        <v>45</v>
      </c>
      <c r="F697" t="s">
        <v>26</v>
      </c>
      <c r="G697">
        <v>894</v>
      </c>
      <c r="H697">
        <v>4693</v>
      </c>
      <c r="I697">
        <v>5966.6118230000002</v>
      </c>
      <c r="J697" t="b">
        <v>1</v>
      </c>
      <c r="K697">
        <v>18</v>
      </c>
      <c r="L697" t="b">
        <v>0</v>
      </c>
      <c r="M697">
        <v>85317.498009999996</v>
      </c>
      <c r="N697">
        <v>3513.5</v>
      </c>
      <c r="O697">
        <v>6652</v>
      </c>
      <c r="P697" t="s">
        <v>27</v>
      </c>
      <c r="Q697">
        <v>0.25444713248897111</v>
      </c>
      <c r="R697" t="s">
        <v>37</v>
      </c>
      <c r="S697">
        <v>6.6740624418344519</v>
      </c>
      <c r="T697">
        <v>0.52818701142513524</v>
      </c>
      <c r="U697" t="s">
        <v>29</v>
      </c>
      <c r="V697">
        <v>0</v>
      </c>
    </row>
    <row r="698" spans="1:22" x14ac:dyDescent="0.3">
      <c r="A698" s="1">
        <v>45430</v>
      </c>
      <c r="B698" t="s">
        <v>42</v>
      </c>
      <c r="C698" t="s">
        <v>31</v>
      </c>
      <c r="D698" t="s">
        <v>46</v>
      </c>
      <c r="E698" t="s">
        <v>33</v>
      </c>
      <c r="F698" t="s">
        <v>43</v>
      </c>
      <c r="G698">
        <v>786</v>
      </c>
      <c r="H698">
        <v>2334</v>
      </c>
      <c r="I698">
        <v>8727.9265159999995</v>
      </c>
      <c r="J698" t="b">
        <v>1</v>
      </c>
      <c r="K698">
        <v>19</v>
      </c>
      <c r="L698" t="b">
        <v>0</v>
      </c>
      <c r="M698">
        <v>64820.213230000001</v>
      </c>
      <c r="N698">
        <v>2999.5</v>
      </c>
      <c r="O698">
        <v>9887</v>
      </c>
      <c r="P698" t="s">
        <v>36</v>
      </c>
      <c r="Q698">
        <v>0.26204367394565758</v>
      </c>
      <c r="R698" t="s">
        <v>37</v>
      </c>
      <c r="S698">
        <v>11.104232208651398</v>
      </c>
      <c r="T698">
        <v>0.30337817335895623</v>
      </c>
      <c r="U698" t="s">
        <v>34</v>
      </c>
      <c r="V698">
        <v>0</v>
      </c>
    </row>
    <row r="699" spans="1:22" x14ac:dyDescent="0.3">
      <c r="A699" s="1">
        <v>45429</v>
      </c>
      <c r="B699" t="s">
        <v>22</v>
      </c>
      <c r="C699" t="s">
        <v>31</v>
      </c>
      <c r="D699" t="s">
        <v>24</v>
      </c>
      <c r="E699" t="s">
        <v>33</v>
      </c>
      <c r="F699" t="s">
        <v>26</v>
      </c>
      <c r="G699">
        <v>857</v>
      </c>
      <c r="H699">
        <v>3665</v>
      </c>
      <c r="I699">
        <v>3151.9492690000002</v>
      </c>
      <c r="J699" t="b">
        <v>0</v>
      </c>
      <c r="K699">
        <v>27</v>
      </c>
      <c r="L699" t="b">
        <v>0</v>
      </c>
      <c r="M699">
        <v>30074.04046</v>
      </c>
      <c r="N699">
        <v>3834</v>
      </c>
      <c r="O699">
        <v>8103</v>
      </c>
      <c r="P699" t="s">
        <v>36</v>
      </c>
      <c r="Q699">
        <v>0.22352634324465309</v>
      </c>
      <c r="R699" t="s">
        <v>37</v>
      </c>
      <c r="S699">
        <v>3.6778871283547261</v>
      </c>
      <c r="T699">
        <v>0.47315808959644579</v>
      </c>
      <c r="U699" t="s">
        <v>29</v>
      </c>
      <c r="V699">
        <v>0</v>
      </c>
    </row>
    <row r="700" spans="1:22" x14ac:dyDescent="0.3">
      <c r="A700" s="1">
        <v>45428</v>
      </c>
      <c r="B700" t="s">
        <v>22</v>
      </c>
      <c r="C700" t="s">
        <v>44</v>
      </c>
      <c r="D700" t="s">
        <v>46</v>
      </c>
      <c r="E700" t="s">
        <v>25</v>
      </c>
      <c r="F700" t="s">
        <v>26</v>
      </c>
      <c r="G700">
        <v>347</v>
      </c>
      <c r="H700">
        <v>4003</v>
      </c>
      <c r="I700">
        <v>14142.70588</v>
      </c>
      <c r="J700" t="b">
        <v>1</v>
      </c>
      <c r="K700">
        <v>25</v>
      </c>
      <c r="L700" t="b">
        <v>0</v>
      </c>
      <c r="M700">
        <v>67444.467980000001</v>
      </c>
      <c r="N700">
        <v>2193</v>
      </c>
      <c r="O700">
        <v>9666</v>
      </c>
      <c r="P700" t="s">
        <v>27</v>
      </c>
      <c r="Q700">
        <v>0.15823073415412678</v>
      </c>
      <c r="R700" t="s">
        <v>37</v>
      </c>
      <c r="S700">
        <v>40.757077463976941</v>
      </c>
      <c r="T700">
        <v>0.22687771570453136</v>
      </c>
      <c r="U700" t="s">
        <v>34</v>
      </c>
      <c r="V700">
        <v>0</v>
      </c>
    </row>
    <row r="701" spans="1:22" x14ac:dyDescent="0.3">
      <c r="A701" s="1">
        <v>45427</v>
      </c>
      <c r="B701" t="s">
        <v>30</v>
      </c>
      <c r="C701" t="s">
        <v>41</v>
      </c>
      <c r="D701" t="s">
        <v>46</v>
      </c>
      <c r="E701" t="s">
        <v>25</v>
      </c>
      <c r="F701" t="s">
        <v>26</v>
      </c>
      <c r="G701">
        <v>493</v>
      </c>
      <c r="H701">
        <v>383</v>
      </c>
      <c r="I701">
        <v>2643.860349</v>
      </c>
      <c r="J701" t="b">
        <v>1</v>
      </c>
      <c r="K701">
        <v>15</v>
      </c>
      <c r="L701" t="b">
        <v>1</v>
      </c>
      <c r="M701">
        <v>49947.56321</v>
      </c>
      <c r="N701">
        <v>574.5</v>
      </c>
      <c r="O701">
        <v>6755</v>
      </c>
      <c r="P701" t="s">
        <v>36</v>
      </c>
      <c r="Q701">
        <v>0.85813751087902523</v>
      </c>
      <c r="R701" t="s">
        <v>37</v>
      </c>
      <c r="S701">
        <v>5.3627998965517243</v>
      </c>
      <c r="T701">
        <v>8.5048112509252399E-2</v>
      </c>
      <c r="U701" t="s">
        <v>34</v>
      </c>
      <c r="V701">
        <v>1</v>
      </c>
    </row>
    <row r="702" spans="1:22" x14ac:dyDescent="0.3">
      <c r="A702" s="1">
        <v>45426</v>
      </c>
      <c r="B702" t="s">
        <v>42</v>
      </c>
      <c r="C702" t="s">
        <v>23</v>
      </c>
      <c r="D702" t="s">
        <v>46</v>
      </c>
      <c r="E702" t="s">
        <v>45</v>
      </c>
      <c r="F702" t="s">
        <v>26</v>
      </c>
      <c r="G702">
        <v>827</v>
      </c>
      <c r="H702">
        <v>766</v>
      </c>
      <c r="I702">
        <v>14539.028190000001</v>
      </c>
      <c r="J702" t="b">
        <v>1</v>
      </c>
      <c r="K702">
        <v>27</v>
      </c>
      <c r="L702" t="b">
        <v>0</v>
      </c>
      <c r="M702">
        <v>112952.0604</v>
      </c>
      <c r="N702">
        <v>2767.5</v>
      </c>
      <c r="O702">
        <v>8987</v>
      </c>
      <c r="P702" t="s">
        <v>36</v>
      </c>
      <c r="Q702">
        <v>0.29882565492321589</v>
      </c>
      <c r="R702" t="s">
        <v>37</v>
      </c>
      <c r="S702">
        <v>17.580445211608225</v>
      </c>
      <c r="T702">
        <v>0.30794480916879935</v>
      </c>
      <c r="U702" t="s">
        <v>34</v>
      </c>
      <c r="V702">
        <v>0</v>
      </c>
    </row>
    <row r="703" spans="1:22" x14ac:dyDescent="0.3">
      <c r="A703" s="1">
        <v>45425</v>
      </c>
      <c r="B703" t="s">
        <v>22</v>
      </c>
      <c r="C703" t="s">
        <v>41</v>
      </c>
      <c r="D703" t="s">
        <v>46</v>
      </c>
      <c r="E703" t="s">
        <v>33</v>
      </c>
      <c r="F703" t="s">
        <v>26</v>
      </c>
      <c r="G703">
        <v>430</v>
      </c>
      <c r="H703">
        <v>4769</v>
      </c>
      <c r="I703">
        <v>8359.3925099999997</v>
      </c>
      <c r="J703" t="b">
        <v>1</v>
      </c>
      <c r="K703">
        <v>24</v>
      </c>
      <c r="L703" t="b">
        <v>0</v>
      </c>
      <c r="M703">
        <v>54198.9254</v>
      </c>
      <c r="N703">
        <v>4233.5</v>
      </c>
      <c r="O703">
        <v>6164</v>
      </c>
      <c r="P703" t="s">
        <v>27</v>
      </c>
      <c r="Q703">
        <v>0.10157080429904335</v>
      </c>
      <c r="R703" t="s">
        <v>37</v>
      </c>
      <c r="S703">
        <v>19.440447697674418</v>
      </c>
      <c r="T703">
        <v>0.68681051265412074</v>
      </c>
      <c r="U703" t="s">
        <v>29</v>
      </c>
      <c r="V703">
        <v>0</v>
      </c>
    </row>
    <row r="704" spans="1:22" x14ac:dyDescent="0.3">
      <c r="A704" s="1">
        <v>45424</v>
      </c>
      <c r="B704" t="s">
        <v>42</v>
      </c>
      <c r="C704" t="s">
        <v>31</v>
      </c>
      <c r="D704" t="s">
        <v>35</v>
      </c>
      <c r="E704" t="s">
        <v>45</v>
      </c>
      <c r="F704" t="s">
        <v>43</v>
      </c>
      <c r="G704">
        <v>145</v>
      </c>
      <c r="H704">
        <v>3698</v>
      </c>
      <c r="I704">
        <v>3647.9968269999999</v>
      </c>
      <c r="J704" t="b">
        <v>1</v>
      </c>
      <c r="K704">
        <v>27</v>
      </c>
      <c r="L704" t="b">
        <v>0</v>
      </c>
      <c r="M704">
        <v>12890.93144</v>
      </c>
      <c r="N704">
        <v>3199</v>
      </c>
      <c r="O704">
        <v>5554</v>
      </c>
      <c r="P704" t="s">
        <v>27</v>
      </c>
      <c r="Q704">
        <v>4.5326664582682086E-2</v>
      </c>
      <c r="R704" t="s">
        <v>37</v>
      </c>
      <c r="S704">
        <v>25.158598806896553</v>
      </c>
      <c r="T704">
        <v>0.57598127475693195</v>
      </c>
      <c r="U704" t="s">
        <v>29</v>
      </c>
      <c r="V704">
        <v>0</v>
      </c>
    </row>
    <row r="705" spans="1:22" x14ac:dyDescent="0.3">
      <c r="A705" s="1">
        <v>45423</v>
      </c>
      <c r="B705" t="s">
        <v>30</v>
      </c>
      <c r="C705" t="s">
        <v>41</v>
      </c>
      <c r="D705" t="s">
        <v>46</v>
      </c>
      <c r="E705" t="s">
        <v>25</v>
      </c>
      <c r="F705" t="s">
        <v>26</v>
      </c>
      <c r="G705">
        <v>842</v>
      </c>
      <c r="H705">
        <v>2700</v>
      </c>
      <c r="I705">
        <v>12298.798930000001</v>
      </c>
      <c r="J705" t="b">
        <v>0</v>
      </c>
      <c r="K705">
        <v>6</v>
      </c>
      <c r="L705" t="b">
        <v>1</v>
      </c>
      <c r="M705">
        <v>74376.85428</v>
      </c>
      <c r="N705">
        <v>1759.5</v>
      </c>
      <c r="O705">
        <v>7264</v>
      </c>
      <c r="P705" t="s">
        <v>27</v>
      </c>
      <c r="Q705">
        <v>0.47854504120488778</v>
      </c>
      <c r="R705" t="s">
        <v>40</v>
      </c>
      <c r="S705">
        <v>14.606649560570073</v>
      </c>
      <c r="T705">
        <v>0.24222191629955947</v>
      </c>
      <c r="U705" t="s">
        <v>34</v>
      </c>
      <c r="V705">
        <v>1</v>
      </c>
    </row>
    <row r="706" spans="1:22" x14ac:dyDescent="0.3">
      <c r="A706" s="1">
        <v>45422</v>
      </c>
      <c r="B706" t="s">
        <v>30</v>
      </c>
      <c r="C706" t="s">
        <v>23</v>
      </c>
      <c r="D706" t="s">
        <v>35</v>
      </c>
      <c r="E706" t="s">
        <v>45</v>
      </c>
      <c r="F706" t="s">
        <v>26</v>
      </c>
      <c r="G706">
        <v>845</v>
      </c>
      <c r="H706">
        <v>819</v>
      </c>
      <c r="I706">
        <v>3626.3415960000002</v>
      </c>
      <c r="J706" t="b">
        <v>1</v>
      </c>
      <c r="K706">
        <v>26</v>
      </c>
      <c r="L706" t="b">
        <v>0</v>
      </c>
      <c r="M706">
        <v>80133.179170000003</v>
      </c>
      <c r="N706">
        <v>2535</v>
      </c>
      <c r="O706">
        <v>9158</v>
      </c>
      <c r="P706" t="s">
        <v>36</v>
      </c>
      <c r="Q706">
        <v>0.33333333333333331</v>
      </c>
      <c r="R706" t="s">
        <v>37</v>
      </c>
      <c r="S706">
        <v>4.2915285159763314</v>
      </c>
      <c r="T706">
        <v>0.27680716313605591</v>
      </c>
      <c r="U706" t="s">
        <v>34</v>
      </c>
      <c r="V706">
        <v>0</v>
      </c>
    </row>
    <row r="707" spans="1:22" x14ac:dyDescent="0.3">
      <c r="A707" s="1">
        <v>45421</v>
      </c>
      <c r="B707" t="s">
        <v>22</v>
      </c>
      <c r="C707" t="s">
        <v>41</v>
      </c>
      <c r="D707" t="s">
        <v>35</v>
      </c>
      <c r="E707" t="s">
        <v>33</v>
      </c>
      <c r="F707" t="s">
        <v>26</v>
      </c>
      <c r="G707">
        <v>727</v>
      </c>
      <c r="H707">
        <v>4251</v>
      </c>
      <c r="I707">
        <v>5451.3063959999999</v>
      </c>
      <c r="J707" t="b">
        <v>1</v>
      </c>
      <c r="K707">
        <v>5</v>
      </c>
      <c r="L707" t="b">
        <v>0</v>
      </c>
      <c r="M707">
        <v>94002.045870000002</v>
      </c>
      <c r="N707">
        <v>4214.5</v>
      </c>
      <c r="O707">
        <v>7182</v>
      </c>
      <c r="P707" t="s">
        <v>27</v>
      </c>
      <c r="Q707">
        <v>0.17249970340491161</v>
      </c>
      <c r="R707" t="s">
        <v>40</v>
      </c>
      <c r="S707">
        <v>7.4983581788170559</v>
      </c>
      <c r="T707">
        <v>0.58681425786688945</v>
      </c>
      <c r="U707" t="s">
        <v>29</v>
      </c>
      <c r="V707">
        <v>0</v>
      </c>
    </row>
    <row r="708" spans="1:22" x14ac:dyDescent="0.3">
      <c r="A708" s="1">
        <v>45420</v>
      </c>
      <c r="B708" t="s">
        <v>38</v>
      </c>
      <c r="C708" t="s">
        <v>31</v>
      </c>
      <c r="D708" t="s">
        <v>24</v>
      </c>
      <c r="E708" t="s">
        <v>33</v>
      </c>
      <c r="F708" t="s">
        <v>39</v>
      </c>
      <c r="G708">
        <v>645</v>
      </c>
      <c r="H708">
        <v>4178</v>
      </c>
      <c r="I708">
        <v>10493.130450000001</v>
      </c>
      <c r="J708" t="b">
        <v>1</v>
      </c>
      <c r="K708">
        <v>17</v>
      </c>
      <c r="L708" t="b">
        <v>0</v>
      </c>
      <c r="M708">
        <v>90932.488819999999</v>
      </c>
      <c r="N708">
        <v>3199.5</v>
      </c>
      <c r="O708">
        <v>6589</v>
      </c>
      <c r="P708" t="s">
        <v>27</v>
      </c>
      <c r="Q708">
        <v>0.20159399906235348</v>
      </c>
      <c r="R708" t="s">
        <v>37</v>
      </c>
      <c r="S708">
        <v>16.268419302325583</v>
      </c>
      <c r="T708">
        <v>0.48558203065715588</v>
      </c>
      <c r="U708" t="s">
        <v>29</v>
      </c>
      <c r="V708">
        <v>0</v>
      </c>
    </row>
    <row r="709" spans="1:22" x14ac:dyDescent="0.3">
      <c r="A709" s="1">
        <v>45419</v>
      </c>
      <c r="B709" t="s">
        <v>22</v>
      </c>
      <c r="C709" t="s">
        <v>23</v>
      </c>
      <c r="D709" t="s">
        <v>46</v>
      </c>
      <c r="E709" t="s">
        <v>33</v>
      </c>
      <c r="F709" t="s">
        <v>43</v>
      </c>
      <c r="G709">
        <v>79</v>
      </c>
      <c r="H709">
        <v>2221</v>
      </c>
      <c r="I709">
        <v>10249.04988</v>
      </c>
      <c r="J709" t="b">
        <v>1</v>
      </c>
      <c r="K709">
        <v>6</v>
      </c>
      <c r="L709" t="b">
        <v>0</v>
      </c>
      <c r="M709">
        <v>8305.7895549999994</v>
      </c>
      <c r="N709">
        <v>2744.5</v>
      </c>
      <c r="O709">
        <v>9163</v>
      </c>
      <c r="P709" t="s">
        <v>36</v>
      </c>
      <c r="Q709">
        <v>2.8784842412096921E-2</v>
      </c>
      <c r="R709" t="s">
        <v>40</v>
      </c>
      <c r="S709">
        <v>129.73480860759494</v>
      </c>
      <c r="T709">
        <v>0.29951980792316929</v>
      </c>
      <c r="U709" t="s">
        <v>34</v>
      </c>
      <c r="V709">
        <v>0</v>
      </c>
    </row>
    <row r="710" spans="1:22" x14ac:dyDescent="0.3">
      <c r="A710" s="1">
        <v>45418</v>
      </c>
      <c r="B710" t="s">
        <v>22</v>
      </c>
      <c r="C710" t="s">
        <v>44</v>
      </c>
      <c r="D710" t="s">
        <v>35</v>
      </c>
      <c r="E710" t="s">
        <v>25</v>
      </c>
      <c r="F710" t="s">
        <v>26</v>
      </c>
      <c r="G710">
        <v>743</v>
      </c>
      <c r="H710">
        <v>3268</v>
      </c>
      <c r="I710">
        <v>1669.7116269999999</v>
      </c>
      <c r="J710" t="b">
        <v>1</v>
      </c>
      <c r="K710">
        <v>10</v>
      </c>
      <c r="L710" t="b">
        <v>0</v>
      </c>
      <c r="M710">
        <v>99245.987299999993</v>
      </c>
      <c r="N710">
        <v>2018.5</v>
      </c>
      <c r="O710">
        <v>9347</v>
      </c>
      <c r="P710" t="s">
        <v>27</v>
      </c>
      <c r="Q710">
        <v>0.36809512013871687</v>
      </c>
      <c r="R710" t="s">
        <v>28</v>
      </c>
      <c r="S710">
        <v>2.2472565639300135</v>
      </c>
      <c r="T710">
        <v>0.21595164223815128</v>
      </c>
      <c r="U710" t="s">
        <v>34</v>
      </c>
      <c r="V710">
        <v>0</v>
      </c>
    </row>
    <row r="711" spans="1:22" x14ac:dyDescent="0.3">
      <c r="A711" s="1">
        <v>45417</v>
      </c>
      <c r="B711" t="s">
        <v>42</v>
      </c>
      <c r="C711" t="s">
        <v>44</v>
      </c>
      <c r="D711" t="s">
        <v>46</v>
      </c>
      <c r="E711" t="s">
        <v>25</v>
      </c>
      <c r="F711" t="s">
        <v>26</v>
      </c>
      <c r="G711">
        <v>365</v>
      </c>
      <c r="H711">
        <v>769</v>
      </c>
      <c r="I711">
        <v>1038.143139</v>
      </c>
      <c r="J711" t="b">
        <v>1</v>
      </c>
      <c r="K711">
        <v>19</v>
      </c>
      <c r="L711" t="b">
        <v>0</v>
      </c>
      <c r="M711">
        <v>64325.264150000003</v>
      </c>
      <c r="N711">
        <v>2595</v>
      </c>
      <c r="O711">
        <v>5729</v>
      </c>
      <c r="P711" t="s">
        <v>36</v>
      </c>
      <c r="Q711">
        <v>0.14065510597302505</v>
      </c>
      <c r="R711" t="s">
        <v>37</v>
      </c>
      <c r="S711">
        <v>2.8442277780821916</v>
      </c>
      <c r="T711">
        <v>0.45295863152382615</v>
      </c>
      <c r="U711" t="s">
        <v>29</v>
      </c>
      <c r="V711">
        <v>0</v>
      </c>
    </row>
    <row r="712" spans="1:22" x14ac:dyDescent="0.3">
      <c r="A712" s="1">
        <v>45416</v>
      </c>
      <c r="B712" t="s">
        <v>22</v>
      </c>
      <c r="C712" t="s">
        <v>23</v>
      </c>
      <c r="D712" t="s">
        <v>35</v>
      </c>
      <c r="E712" t="s">
        <v>25</v>
      </c>
      <c r="F712" t="s">
        <v>26</v>
      </c>
      <c r="G712">
        <v>947</v>
      </c>
      <c r="H712">
        <v>4421</v>
      </c>
      <c r="I712">
        <v>8043.3634270000002</v>
      </c>
      <c r="J712" t="b">
        <v>1</v>
      </c>
      <c r="K712">
        <v>29</v>
      </c>
      <c r="L712" t="b">
        <v>0</v>
      </c>
      <c r="M712">
        <v>168113.30590000001</v>
      </c>
      <c r="N712">
        <v>3841</v>
      </c>
      <c r="O712">
        <v>5742</v>
      </c>
      <c r="P712" t="s">
        <v>27</v>
      </c>
      <c r="Q712">
        <v>0.24655037750585784</v>
      </c>
      <c r="R712" t="s">
        <v>37</v>
      </c>
      <c r="S712">
        <v>8.4935199862724389</v>
      </c>
      <c r="T712">
        <v>0.66893068617206553</v>
      </c>
      <c r="U712" t="s">
        <v>29</v>
      </c>
      <c r="V712">
        <v>0</v>
      </c>
    </row>
    <row r="713" spans="1:22" x14ac:dyDescent="0.3">
      <c r="A713" s="1">
        <v>45415</v>
      </c>
      <c r="B713" t="s">
        <v>22</v>
      </c>
      <c r="C713" t="s">
        <v>41</v>
      </c>
      <c r="D713" t="s">
        <v>24</v>
      </c>
      <c r="E713" t="s">
        <v>45</v>
      </c>
      <c r="F713" t="s">
        <v>26</v>
      </c>
      <c r="G713">
        <v>705</v>
      </c>
      <c r="H713">
        <v>3261</v>
      </c>
      <c r="I713">
        <v>2519.8839109999999</v>
      </c>
      <c r="J713" t="b">
        <v>1</v>
      </c>
      <c r="K713">
        <v>10</v>
      </c>
      <c r="L713" t="b">
        <v>0</v>
      </c>
      <c r="M713">
        <v>44338.718829999998</v>
      </c>
      <c r="N713">
        <v>2995.5</v>
      </c>
      <c r="O713">
        <v>7585</v>
      </c>
      <c r="P713" t="s">
        <v>27</v>
      </c>
      <c r="Q713">
        <v>0.23535302954431647</v>
      </c>
      <c r="R713" t="s">
        <v>28</v>
      </c>
      <c r="S713">
        <v>3.5743034198581558</v>
      </c>
      <c r="T713">
        <v>0.39492419248516808</v>
      </c>
      <c r="U713" t="s">
        <v>34</v>
      </c>
      <c r="V713">
        <v>0</v>
      </c>
    </row>
    <row r="714" spans="1:22" x14ac:dyDescent="0.3">
      <c r="A714" s="1">
        <v>45414</v>
      </c>
      <c r="B714" t="s">
        <v>42</v>
      </c>
      <c r="C714" t="s">
        <v>41</v>
      </c>
      <c r="D714" t="s">
        <v>46</v>
      </c>
      <c r="E714" t="s">
        <v>25</v>
      </c>
      <c r="F714" t="s">
        <v>39</v>
      </c>
      <c r="G714">
        <v>866</v>
      </c>
      <c r="H714">
        <v>2730</v>
      </c>
      <c r="I714">
        <v>12740.69549</v>
      </c>
      <c r="J714" t="b">
        <v>1</v>
      </c>
      <c r="K714">
        <v>29</v>
      </c>
      <c r="L714" t="b">
        <v>0</v>
      </c>
      <c r="M714">
        <v>61425.866909999997</v>
      </c>
      <c r="N714">
        <v>2955.5</v>
      </c>
      <c r="O714">
        <v>6623</v>
      </c>
      <c r="P714" t="s">
        <v>36</v>
      </c>
      <c r="Q714">
        <v>0.29301302656064965</v>
      </c>
      <c r="R714" t="s">
        <v>37</v>
      </c>
      <c r="S714">
        <v>14.712119503464203</v>
      </c>
      <c r="T714">
        <v>0.44624792390155521</v>
      </c>
      <c r="U714" t="s">
        <v>29</v>
      </c>
      <c r="V714">
        <v>0</v>
      </c>
    </row>
    <row r="715" spans="1:22" x14ac:dyDescent="0.3">
      <c r="A715" s="1">
        <v>45413</v>
      </c>
      <c r="B715" t="s">
        <v>30</v>
      </c>
      <c r="C715" t="s">
        <v>23</v>
      </c>
      <c r="D715" t="s">
        <v>32</v>
      </c>
      <c r="E715" t="s">
        <v>33</v>
      </c>
      <c r="F715" t="s">
        <v>26</v>
      </c>
      <c r="G715">
        <v>231</v>
      </c>
      <c r="H715">
        <v>3181</v>
      </c>
      <c r="I715">
        <v>2178.5206710000002</v>
      </c>
      <c r="J715" t="b">
        <v>1</v>
      </c>
      <c r="K715">
        <v>10</v>
      </c>
      <c r="L715" t="b">
        <v>0</v>
      </c>
      <c r="M715">
        <v>16743.801459999999</v>
      </c>
      <c r="N715">
        <v>3227.5</v>
      </c>
      <c r="O715">
        <v>6692</v>
      </c>
      <c r="P715" t="s">
        <v>36</v>
      </c>
      <c r="Q715">
        <v>7.1572424477149496E-2</v>
      </c>
      <c r="R715" t="s">
        <v>28</v>
      </c>
      <c r="S715">
        <v>9.4308254155844171</v>
      </c>
      <c r="T715">
        <v>0.48229228930065748</v>
      </c>
      <c r="U715" t="s">
        <v>29</v>
      </c>
      <c r="V715">
        <v>0</v>
      </c>
    </row>
    <row r="716" spans="1:22" x14ac:dyDescent="0.3">
      <c r="A716" s="1">
        <v>45412</v>
      </c>
      <c r="B716" t="s">
        <v>38</v>
      </c>
      <c r="C716" t="s">
        <v>41</v>
      </c>
      <c r="D716" t="s">
        <v>24</v>
      </c>
      <c r="E716" t="s">
        <v>33</v>
      </c>
      <c r="F716" t="s">
        <v>26</v>
      </c>
      <c r="G716">
        <v>930</v>
      </c>
      <c r="H716">
        <v>3274</v>
      </c>
      <c r="I716">
        <v>2443.360968</v>
      </c>
      <c r="J716" t="b">
        <v>1</v>
      </c>
      <c r="K716">
        <v>16</v>
      </c>
      <c r="L716" t="b">
        <v>0</v>
      </c>
      <c r="M716">
        <v>136680.70569999999</v>
      </c>
      <c r="N716">
        <v>2969.5</v>
      </c>
      <c r="O716">
        <v>7071</v>
      </c>
      <c r="P716" t="s">
        <v>27</v>
      </c>
      <c r="Q716">
        <v>0.31318403771678732</v>
      </c>
      <c r="R716" t="s">
        <v>37</v>
      </c>
      <c r="S716">
        <v>2.627269858064516</v>
      </c>
      <c r="T716">
        <v>0.41995474473200395</v>
      </c>
      <c r="U716" t="s">
        <v>29</v>
      </c>
      <c r="V716">
        <v>0</v>
      </c>
    </row>
    <row r="717" spans="1:22" x14ac:dyDescent="0.3">
      <c r="A717" s="1">
        <v>45411</v>
      </c>
      <c r="B717" t="s">
        <v>22</v>
      </c>
      <c r="C717" t="s">
        <v>31</v>
      </c>
      <c r="D717" t="s">
        <v>32</v>
      </c>
      <c r="E717" t="s">
        <v>33</v>
      </c>
      <c r="F717" t="s">
        <v>43</v>
      </c>
      <c r="G717">
        <v>844</v>
      </c>
      <c r="H717">
        <v>2665</v>
      </c>
      <c r="I717">
        <v>9544.284028</v>
      </c>
      <c r="J717" t="b">
        <v>1</v>
      </c>
      <c r="K717">
        <v>10</v>
      </c>
      <c r="L717" t="b">
        <v>0</v>
      </c>
      <c r="M717">
        <v>42146.073499999999</v>
      </c>
      <c r="N717">
        <v>2262</v>
      </c>
      <c r="O717">
        <v>5851</v>
      </c>
      <c r="P717" t="s">
        <v>27</v>
      </c>
      <c r="Q717">
        <v>0.37312113174182138</v>
      </c>
      <c r="R717" t="s">
        <v>28</v>
      </c>
      <c r="S717">
        <v>11.308393398104265</v>
      </c>
      <c r="T717">
        <v>0.38660058109724832</v>
      </c>
      <c r="U717" t="s">
        <v>34</v>
      </c>
      <c r="V717">
        <v>0</v>
      </c>
    </row>
    <row r="718" spans="1:22" x14ac:dyDescent="0.3">
      <c r="A718" s="1">
        <v>45410</v>
      </c>
      <c r="B718" t="s">
        <v>38</v>
      </c>
      <c r="C718" t="s">
        <v>41</v>
      </c>
      <c r="D718" t="s">
        <v>35</v>
      </c>
      <c r="E718" t="s">
        <v>33</v>
      </c>
      <c r="F718" t="s">
        <v>26</v>
      </c>
      <c r="G718">
        <v>539</v>
      </c>
      <c r="H718">
        <v>1859</v>
      </c>
      <c r="I718">
        <v>13535.847750000001</v>
      </c>
      <c r="J718" t="b">
        <v>1</v>
      </c>
      <c r="K718">
        <v>27</v>
      </c>
      <c r="L718" t="b">
        <v>0</v>
      </c>
      <c r="M718">
        <v>59513.31265</v>
      </c>
      <c r="N718">
        <v>1581</v>
      </c>
      <c r="O718">
        <v>7427</v>
      </c>
      <c r="P718" t="s">
        <v>27</v>
      </c>
      <c r="Q718">
        <v>0.34092346616065783</v>
      </c>
      <c r="R718" t="s">
        <v>37</v>
      </c>
      <c r="S718">
        <v>25.112890074211503</v>
      </c>
      <c r="T718">
        <v>0.21287195368250977</v>
      </c>
      <c r="U718" t="s">
        <v>34</v>
      </c>
      <c r="V718">
        <v>0</v>
      </c>
    </row>
    <row r="719" spans="1:22" x14ac:dyDescent="0.3">
      <c r="A719" s="1">
        <v>45409</v>
      </c>
      <c r="B719" t="s">
        <v>22</v>
      </c>
      <c r="C719" t="s">
        <v>41</v>
      </c>
      <c r="D719" t="s">
        <v>24</v>
      </c>
      <c r="E719" t="s">
        <v>25</v>
      </c>
      <c r="F719" t="s">
        <v>39</v>
      </c>
      <c r="G719">
        <v>244</v>
      </c>
      <c r="H719">
        <v>1303</v>
      </c>
      <c r="I719">
        <v>9679.7343340000007</v>
      </c>
      <c r="J719" t="b">
        <v>1</v>
      </c>
      <c r="K719">
        <v>22</v>
      </c>
      <c r="L719" t="b">
        <v>0</v>
      </c>
      <c r="M719">
        <v>35633.427819999997</v>
      </c>
      <c r="N719">
        <v>2523.5</v>
      </c>
      <c r="O719">
        <v>5729</v>
      </c>
      <c r="P719" t="s">
        <v>36</v>
      </c>
      <c r="Q719">
        <v>9.6691103625916389E-2</v>
      </c>
      <c r="R719" t="s">
        <v>37</v>
      </c>
      <c r="S719">
        <v>39.671042352459018</v>
      </c>
      <c r="T719">
        <v>0.44047826845871879</v>
      </c>
      <c r="U719" t="s">
        <v>29</v>
      </c>
      <c r="V719">
        <v>0</v>
      </c>
    </row>
    <row r="720" spans="1:22" x14ac:dyDescent="0.3">
      <c r="A720" s="1">
        <v>45408</v>
      </c>
      <c r="B720" t="s">
        <v>38</v>
      </c>
      <c r="C720" t="s">
        <v>44</v>
      </c>
      <c r="D720" t="s">
        <v>24</v>
      </c>
      <c r="E720" t="s">
        <v>25</v>
      </c>
      <c r="F720" t="s">
        <v>26</v>
      </c>
      <c r="G720">
        <v>61</v>
      </c>
      <c r="H720">
        <v>3744</v>
      </c>
      <c r="I720">
        <v>2263.276261</v>
      </c>
      <c r="J720" t="b">
        <v>1</v>
      </c>
      <c r="K720">
        <v>29</v>
      </c>
      <c r="L720" t="b">
        <v>1</v>
      </c>
      <c r="M720">
        <v>11941.860570000001</v>
      </c>
      <c r="N720">
        <v>2230</v>
      </c>
      <c r="O720">
        <v>8910</v>
      </c>
      <c r="P720" t="s">
        <v>27</v>
      </c>
      <c r="Q720">
        <v>2.7354260089686097E-2</v>
      </c>
      <c r="R720" t="s">
        <v>37</v>
      </c>
      <c r="S720">
        <v>37.102889524590161</v>
      </c>
      <c r="T720">
        <v>0.25028058361391697</v>
      </c>
      <c r="U720" t="s">
        <v>34</v>
      </c>
      <c r="V720">
        <v>1</v>
      </c>
    </row>
    <row r="721" spans="1:22" x14ac:dyDescent="0.3">
      <c r="A721" s="1">
        <v>45407</v>
      </c>
      <c r="B721" t="s">
        <v>42</v>
      </c>
      <c r="C721" t="s">
        <v>23</v>
      </c>
      <c r="D721" t="s">
        <v>46</v>
      </c>
      <c r="E721" t="s">
        <v>45</v>
      </c>
      <c r="F721" t="s">
        <v>26</v>
      </c>
      <c r="G721">
        <v>244</v>
      </c>
      <c r="H721">
        <v>716</v>
      </c>
      <c r="I721">
        <v>956.93912469999998</v>
      </c>
      <c r="J721" t="b">
        <v>1</v>
      </c>
      <c r="K721">
        <v>9</v>
      </c>
      <c r="L721" t="b">
        <v>0</v>
      </c>
      <c r="M721">
        <v>44005.111019999997</v>
      </c>
      <c r="N721">
        <v>1371</v>
      </c>
      <c r="O721">
        <v>7739</v>
      </c>
      <c r="P721" t="s">
        <v>36</v>
      </c>
      <c r="Q721">
        <v>0.17797228300510576</v>
      </c>
      <c r="R721" t="s">
        <v>28</v>
      </c>
      <c r="S721">
        <v>3.9218816586065572</v>
      </c>
      <c r="T721">
        <v>0.17715467114614292</v>
      </c>
      <c r="U721" t="s">
        <v>34</v>
      </c>
      <c r="V721">
        <v>0</v>
      </c>
    </row>
    <row r="722" spans="1:22" x14ac:dyDescent="0.3">
      <c r="A722" s="1">
        <v>45406</v>
      </c>
      <c r="B722" t="s">
        <v>42</v>
      </c>
      <c r="C722" t="s">
        <v>44</v>
      </c>
      <c r="D722" t="s">
        <v>32</v>
      </c>
      <c r="E722" t="s">
        <v>25</v>
      </c>
      <c r="F722" t="s">
        <v>26</v>
      </c>
      <c r="G722">
        <v>542</v>
      </c>
      <c r="H722">
        <v>2026</v>
      </c>
      <c r="I722">
        <v>11259.32555</v>
      </c>
      <c r="J722" t="b">
        <v>1</v>
      </c>
      <c r="K722">
        <v>29</v>
      </c>
      <c r="L722" t="b">
        <v>0</v>
      </c>
      <c r="M722">
        <v>98375.058810000002</v>
      </c>
      <c r="N722">
        <v>2620</v>
      </c>
      <c r="O722">
        <v>6368</v>
      </c>
      <c r="P722" t="s">
        <v>36</v>
      </c>
      <c r="Q722">
        <v>0.20687022900763358</v>
      </c>
      <c r="R722" t="s">
        <v>37</v>
      </c>
      <c r="S722">
        <v>20.773663376383762</v>
      </c>
      <c r="T722">
        <v>0.41143216080402012</v>
      </c>
      <c r="U722" t="s">
        <v>29</v>
      </c>
      <c r="V722">
        <v>0</v>
      </c>
    </row>
    <row r="723" spans="1:22" x14ac:dyDescent="0.3">
      <c r="A723" s="1">
        <v>45405</v>
      </c>
      <c r="B723" t="s">
        <v>22</v>
      </c>
      <c r="C723" t="s">
        <v>44</v>
      </c>
      <c r="D723" t="s">
        <v>35</v>
      </c>
      <c r="E723" t="s">
        <v>25</v>
      </c>
      <c r="F723" t="s">
        <v>26</v>
      </c>
      <c r="G723">
        <v>380</v>
      </c>
      <c r="H723">
        <v>3214</v>
      </c>
      <c r="I723">
        <v>9926.6417399999991</v>
      </c>
      <c r="J723" t="b">
        <v>1</v>
      </c>
      <c r="K723">
        <v>4</v>
      </c>
      <c r="L723" t="b">
        <v>0</v>
      </c>
      <c r="M723">
        <v>54175.511910000001</v>
      </c>
      <c r="N723">
        <v>2977.5</v>
      </c>
      <c r="O723">
        <v>8897</v>
      </c>
      <c r="P723" t="s">
        <v>27</v>
      </c>
      <c r="Q723">
        <v>0.12762384550797648</v>
      </c>
      <c r="R723" t="s">
        <v>40</v>
      </c>
      <c r="S723">
        <v>26.122741421052631</v>
      </c>
      <c r="T723">
        <v>0.33466336967517141</v>
      </c>
      <c r="U723" t="s">
        <v>34</v>
      </c>
      <c r="V723">
        <v>0</v>
      </c>
    </row>
    <row r="724" spans="1:22" x14ac:dyDescent="0.3">
      <c r="A724" s="1">
        <v>45404</v>
      </c>
      <c r="B724" t="s">
        <v>42</v>
      </c>
      <c r="C724" t="s">
        <v>31</v>
      </c>
      <c r="D724" t="s">
        <v>32</v>
      </c>
      <c r="E724" t="s">
        <v>45</v>
      </c>
      <c r="F724" t="s">
        <v>26</v>
      </c>
      <c r="G724">
        <v>220</v>
      </c>
      <c r="H724">
        <v>2741</v>
      </c>
      <c r="I724">
        <v>14713.78751</v>
      </c>
      <c r="J724" t="b">
        <v>1</v>
      </c>
      <c r="K724">
        <v>27</v>
      </c>
      <c r="L724" t="b">
        <v>0</v>
      </c>
      <c r="M724">
        <v>38107.812460000001</v>
      </c>
      <c r="N724">
        <v>2460</v>
      </c>
      <c r="O724">
        <v>7788</v>
      </c>
      <c r="P724" t="s">
        <v>27</v>
      </c>
      <c r="Q724">
        <v>8.943089430894309E-2</v>
      </c>
      <c r="R724" t="s">
        <v>37</v>
      </c>
      <c r="S724">
        <v>66.880852318181823</v>
      </c>
      <c r="T724">
        <v>0.31587057010785824</v>
      </c>
      <c r="U724" t="s">
        <v>34</v>
      </c>
      <c r="V724">
        <v>0</v>
      </c>
    </row>
    <row r="725" spans="1:22" x14ac:dyDescent="0.3">
      <c r="A725" s="1">
        <v>45403</v>
      </c>
      <c r="B725" t="s">
        <v>22</v>
      </c>
      <c r="C725" t="s">
        <v>31</v>
      </c>
      <c r="D725" t="s">
        <v>46</v>
      </c>
      <c r="E725" t="s">
        <v>45</v>
      </c>
      <c r="F725" t="s">
        <v>26</v>
      </c>
      <c r="G725">
        <v>867</v>
      </c>
      <c r="H725">
        <v>2179</v>
      </c>
      <c r="I725">
        <v>6415.0983660000002</v>
      </c>
      <c r="J725" t="b">
        <v>1</v>
      </c>
      <c r="K725">
        <v>5</v>
      </c>
      <c r="L725" t="b">
        <v>0</v>
      </c>
      <c r="M725">
        <v>96185.644130000001</v>
      </c>
      <c r="N725">
        <v>2420.5</v>
      </c>
      <c r="O725">
        <v>7524</v>
      </c>
      <c r="P725" t="s">
        <v>36</v>
      </c>
      <c r="Q725">
        <v>0.35819045651724851</v>
      </c>
      <c r="R725" t="s">
        <v>40</v>
      </c>
      <c r="S725">
        <v>7.3991907335640139</v>
      </c>
      <c r="T725">
        <v>0.32170388091440721</v>
      </c>
      <c r="U725" t="s">
        <v>34</v>
      </c>
      <c r="V725">
        <v>0</v>
      </c>
    </row>
    <row r="726" spans="1:22" x14ac:dyDescent="0.3">
      <c r="A726" s="1">
        <v>45402</v>
      </c>
      <c r="B726" t="s">
        <v>42</v>
      </c>
      <c r="C726" t="s">
        <v>41</v>
      </c>
      <c r="D726" t="s">
        <v>46</v>
      </c>
      <c r="E726" t="s">
        <v>45</v>
      </c>
      <c r="F726" t="s">
        <v>43</v>
      </c>
      <c r="G726">
        <v>345</v>
      </c>
      <c r="H726">
        <v>2662</v>
      </c>
      <c r="I726">
        <v>12943.01441</v>
      </c>
      <c r="J726" t="b">
        <v>1</v>
      </c>
      <c r="K726">
        <v>22</v>
      </c>
      <c r="L726" t="b">
        <v>0</v>
      </c>
      <c r="M726">
        <v>36589.824869999997</v>
      </c>
      <c r="N726">
        <v>3248</v>
      </c>
      <c r="O726">
        <v>5035</v>
      </c>
      <c r="P726" t="s">
        <v>36</v>
      </c>
      <c r="Q726">
        <v>0.1062192118226601</v>
      </c>
      <c r="R726" t="s">
        <v>37</v>
      </c>
      <c r="S726">
        <v>37.515983797101448</v>
      </c>
      <c r="T726">
        <v>0.6450844091360477</v>
      </c>
      <c r="U726" t="s">
        <v>29</v>
      </c>
      <c r="V726">
        <v>0</v>
      </c>
    </row>
    <row r="727" spans="1:22" x14ac:dyDescent="0.3">
      <c r="A727" s="1">
        <v>45401</v>
      </c>
      <c r="B727" t="s">
        <v>30</v>
      </c>
      <c r="C727" t="s">
        <v>41</v>
      </c>
      <c r="D727" t="s">
        <v>32</v>
      </c>
      <c r="E727" t="s">
        <v>45</v>
      </c>
      <c r="F727" t="s">
        <v>26</v>
      </c>
      <c r="G727">
        <v>459</v>
      </c>
      <c r="H727">
        <v>3834</v>
      </c>
      <c r="I727">
        <v>14970.67311</v>
      </c>
      <c r="J727" t="b">
        <v>1</v>
      </c>
      <c r="K727">
        <v>20</v>
      </c>
      <c r="L727" t="b">
        <v>0</v>
      </c>
      <c r="M727">
        <v>69356.511429999999</v>
      </c>
      <c r="N727">
        <v>3331</v>
      </c>
      <c r="O727">
        <v>8326</v>
      </c>
      <c r="P727" t="s">
        <v>27</v>
      </c>
      <c r="Q727">
        <v>0.13779645752026418</v>
      </c>
      <c r="R727" t="s">
        <v>37</v>
      </c>
      <c r="S727">
        <v>32.615845555555552</v>
      </c>
      <c r="T727">
        <v>0.40007206341580592</v>
      </c>
      <c r="U727" t="s">
        <v>29</v>
      </c>
      <c r="V727">
        <v>0</v>
      </c>
    </row>
    <row r="728" spans="1:22" x14ac:dyDescent="0.3">
      <c r="A728" s="1">
        <v>45400</v>
      </c>
      <c r="B728" t="s">
        <v>42</v>
      </c>
      <c r="C728" t="s">
        <v>41</v>
      </c>
      <c r="D728" t="s">
        <v>32</v>
      </c>
      <c r="E728" t="s">
        <v>33</v>
      </c>
      <c r="F728" t="s">
        <v>26</v>
      </c>
      <c r="G728">
        <v>580</v>
      </c>
      <c r="H728">
        <v>2828</v>
      </c>
      <c r="I728">
        <v>4398.4252370000004</v>
      </c>
      <c r="J728" t="b">
        <v>1</v>
      </c>
      <c r="K728">
        <v>5</v>
      </c>
      <c r="L728" t="b">
        <v>0</v>
      </c>
      <c r="M728">
        <v>78892.393339999995</v>
      </c>
      <c r="N728">
        <v>1736.5</v>
      </c>
      <c r="O728">
        <v>5349</v>
      </c>
      <c r="P728" t="s">
        <v>27</v>
      </c>
      <c r="Q728">
        <v>0.33400518283904407</v>
      </c>
      <c r="R728" t="s">
        <v>40</v>
      </c>
      <c r="S728">
        <v>7.5834917879310355</v>
      </c>
      <c r="T728">
        <v>0.32464011964853245</v>
      </c>
      <c r="U728" t="s">
        <v>34</v>
      </c>
      <c r="V728">
        <v>0</v>
      </c>
    </row>
    <row r="729" spans="1:22" x14ac:dyDescent="0.3">
      <c r="A729" s="1">
        <v>45399</v>
      </c>
      <c r="B729" t="s">
        <v>30</v>
      </c>
      <c r="C729" t="s">
        <v>23</v>
      </c>
      <c r="D729" t="s">
        <v>24</v>
      </c>
      <c r="E729" t="s">
        <v>33</v>
      </c>
      <c r="F729" t="s">
        <v>43</v>
      </c>
      <c r="G729">
        <v>157</v>
      </c>
      <c r="H729">
        <v>645</v>
      </c>
      <c r="I729">
        <v>4842.1369969999996</v>
      </c>
      <c r="J729" t="b">
        <v>1</v>
      </c>
      <c r="K729">
        <v>5</v>
      </c>
      <c r="L729" t="b">
        <v>0</v>
      </c>
      <c r="M729">
        <v>23569.18247</v>
      </c>
      <c r="N729">
        <v>1602.5</v>
      </c>
      <c r="O729">
        <v>6436</v>
      </c>
      <c r="P729" t="s">
        <v>36</v>
      </c>
      <c r="Q729">
        <v>9.7971918876755076E-2</v>
      </c>
      <c r="R729" t="s">
        <v>40</v>
      </c>
      <c r="S729">
        <v>30.841636923566877</v>
      </c>
      <c r="T729">
        <v>0.24899005593536358</v>
      </c>
      <c r="U729" t="s">
        <v>34</v>
      </c>
      <c r="V729">
        <v>0</v>
      </c>
    </row>
    <row r="730" spans="1:22" x14ac:dyDescent="0.3">
      <c r="A730" s="1">
        <v>45398</v>
      </c>
      <c r="B730" t="s">
        <v>42</v>
      </c>
      <c r="C730" t="s">
        <v>41</v>
      </c>
      <c r="D730" t="s">
        <v>46</v>
      </c>
      <c r="E730" t="s">
        <v>33</v>
      </c>
      <c r="F730" t="s">
        <v>43</v>
      </c>
      <c r="G730">
        <v>821</v>
      </c>
      <c r="H730">
        <v>2560</v>
      </c>
      <c r="I730">
        <v>10684.87781</v>
      </c>
      <c r="J730" t="b">
        <v>1</v>
      </c>
      <c r="K730">
        <v>6</v>
      </c>
      <c r="L730" t="b">
        <v>0</v>
      </c>
      <c r="M730">
        <v>158581.05780000001</v>
      </c>
      <c r="N730">
        <v>2393</v>
      </c>
      <c r="O730">
        <v>9102</v>
      </c>
      <c r="P730" t="s">
        <v>27</v>
      </c>
      <c r="Q730">
        <v>0.34308399498537401</v>
      </c>
      <c r="R730" t="s">
        <v>40</v>
      </c>
      <c r="S730">
        <v>13.014467490864799</v>
      </c>
      <c r="T730">
        <v>0.26290925071412874</v>
      </c>
      <c r="U730" t="s">
        <v>34</v>
      </c>
      <c r="V730">
        <v>0</v>
      </c>
    </row>
    <row r="731" spans="1:22" x14ac:dyDescent="0.3">
      <c r="A731" s="1">
        <v>45397</v>
      </c>
      <c r="B731" t="s">
        <v>22</v>
      </c>
      <c r="C731" t="s">
        <v>44</v>
      </c>
      <c r="D731" t="s">
        <v>32</v>
      </c>
      <c r="E731" t="s">
        <v>25</v>
      </c>
      <c r="F731" t="s">
        <v>39</v>
      </c>
      <c r="G731">
        <v>841</v>
      </c>
      <c r="H731">
        <v>2226</v>
      </c>
      <c r="I731">
        <v>2002.732534</v>
      </c>
      <c r="J731" t="b">
        <v>1</v>
      </c>
      <c r="K731">
        <v>2</v>
      </c>
      <c r="L731" t="b">
        <v>0</v>
      </c>
      <c r="M731">
        <v>81520.482189999995</v>
      </c>
      <c r="N731">
        <v>2972</v>
      </c>
      <c r="O731">
        <v>8290</v>
      </c>
      <c r="P731" t="s">
        <v>36</v>
      </c>
      <c r="Q731">
        <v>0.28297442799461642</v>
      </c>
      <c r="R731" t="s">
        <v>40</v>
      </c>
      <c r="S731">
        <v>2.3813704328180738</v>
      </c>
      <c r="T731">
        <v>0.35850422195416165</v>
      </c>
      <c r="U731" t="s">
        <v>34</v>
      </c>
      <c r="V731">
        <v>0</v>
      </c>
    </row>
    <row r="732" spans="1:22" x14ac:dyDescent="0.3">
      <c r="A732" s="1">
        <v>45396</v>
      </c>
      <c r="B732" t="s">
        <v>42</v>
      </c>
      <c r="C732" t="s">
        <v>23</v>
      </c>
      <c r="D732" t="s">
        <v>35</v>
      </c>
      <c r="E732" t="s">
        <v>33</v>
      </c>
      <c r="F732" t="s">
        <v>26</v>
      </c>
      <c r="G732">
        <v>667</v>
      </c>
      <c r="H732">
        <v>3718</v>
      </c>
      <c r="I732">
        <v>5808.6402099999996</v>
      </c>
      <c r="J732" t="b">
        <v>1</v>
      </c>
      <c r="K732">
        <v>12</v>
      </c>
      <c r="L732" t="b">
        <v>0</v>
      </c>
      <c r="M732">
        <v>115524.3658</v>
      </c>
      <c r="N732">
        <v>3521.5</v>
      </c>
      <c r="O732">
        <v>7578</v>
      </c>
      <c r="P732" t="s">
        <v>27</v>
      </c>
      <c r="Q732">
        <v>0.18940792276018742</v>
      </c>
      <c r="R732" t="s">
        <v>28</v>
      </c>
      <c r="S732">
        <v>8.7086060119940019</v>
      </c>
      <c r="T732">
        <v>0.46470044866719451</v>
      </c>
      <c r="U732" t="s">
        <v>29</v>
      </c>
      <c r="V732">
        <v>0</v>
      </c>
    </row>
    <row r="733" spans="1:22" x14ac:dyDescent="0.3">
      <c r="A733" s="1">
        <v>45395</v>
      </c>
      <c r="B733" t="s">
        <v>22</v>
      </c>
      <c r="C733" t="s">
        <v>31</v>
      </c>
      <c r="D733" t="s">
        <v>32</v>
      </c>
      <c r="E733" t="s">
        <v>25</v>
      </c>
      <c r="F733" t="s">
        <v>26</v>
      </c>
      <c r="G733">
        <v>435</v>
      </c>
      <c r="H733">
        <v>3325</v>
      </c>
      <c r="I733">
        <v>13913.43607</v>
      </c>
      <c r="J733" t="b">
        <v>1</v>
      </c>
      <c r="K733">
        <v>9</v>
      </c>
      <c r="L733" t="b">
        <v>0</v>
      </c>
      <c r="M733">
        <v>25283.884300000002</v>
      </c>
      <c r="N733">
        <v>2391</v>
      </c>
      <c r="O733">
        <v>9508</v>
      </c>
      <c r="P733" t="s">
        <v>27</v>
      </c>
      <c r="Q733">
        <v>0.18193224592220827</v>
      </c>
      <c r="R733" t="s">
        <v>28</v>
      </c>
      <c r="S733">
        <v>31.984910505747127</v>
      </c>
      <c r="T733">
        <v>0.2514724442574674</v>
      </c>
      <c r="U733" t="s">
        <v>34</v>
      </c>
      <c r="V733">
        <v>0</v>
      </c>
    </row>
    <row r="734" spans="1:22" x14ac:dyDescent="0.3">
      <c r="A734" s="1">
        <v>45394</v>
      </c>
      <c r="B734" t="s">
        <v>22</v>
      </c>
      <c r="C734" t="s">
        <v>41</v>
      </c>
      <c r="D734" t="s">
        <v>46</v>
      </c>
      <c r="E734" t="s">
        <v>25</v>
      </c>
      <c r="F734" t="s">
        <v>39</v>
      </c>
      <c r="G734">
        <v>760</v>
      </c>
      <c r="H734">
        <v>1457</v>
      </c>
      <c r="I734">
        <v>3498.5663030000001</v>
      </c>
      <c r="J734" t="b">
        <v>1</v>
      </c>
      <c r="K734">
        <v>2</v>
      </c>
      <c r="L734" t="b">
        <v>1</v>
      </c>
      <c r="M734">
        <v>96996.745590000006</v>
      </c>
      <c r="N734">
        <v>2674</v>
      </c>
      <c r="O734">
        <v>5204</v>
      </c>
      <c r="P734" t="s">
        <v>36</v>
      </c>
      <c r="Q734">
        <v>0.28421839940164545</v>
      </c>
      <c r="R734" t="s">
        <v>40</v>
      </c>
      <c r="S734">
        <v>4.6033767144736846</v>
      </c>
      <c r="T734">
        <v>0.51383551114527282</v>
      </c>
      <c r="U734" t="s">
        <v>29</v>
      </c>
      <c r="V734">
        <v>1</v>
      </c>
    </row>
    <row r="735" spans="1:22" x14ac:dyDescent="0.3">
      <c r="A735" s="1">
        <v>45393</v>
      </c>
      <c r="B735" t="s">
        <v>42</v>
      </c>
      <c r="C735" t="s">
        <v>23</v>
      </c>
      <c r="D735" t="s">
        <v>32</v>
      </c>
      <c r="E735" t="s">
        <v>45</v>
      </c>
      <c r="F735" t="s">
        <v>43</v>
      </c>
      <c r="G735">
        <v>667</v>
      </c>
      <c r="H735">
        <v>3891</v>
      </c>
      <c r="I735">
        <v>1102.6178</v>
      </c>
      <c r="J735" t="b">
        <v>1</v>
      </c>
      <c r="K735">
        <v>19</v>
      </c>
      <c r="L735" t="b">
        <v>1</v>
      </c>
      <c r="M735">
        <v>99369.429990000004</v>
      </c>
      <c r="N735">
        <v>2398</v>
      </c>
      <c r="O735">
        <v>5704</v>
      </c>
      <c r="P735" t="s">
        <v>27</v>
      </c>
      <c r="Q735">
        <v>0.2781484570475396</v>
      </c>
      <c r="R735" t="s">
        <v>37</v>
      </c>
      <c r="S735">
        <v>1.6531001499250375</v>
      </c>
      <c r="T735">
        <v>0.42040673211781204</v>
      </c>
      <c r="U735" t="s">
        <v>29</v>
      </c>
      <c r="V735">
        <v>1</v>
      </c>
    </row>
    <row r="736" spans="1:22" x14ac:dyDescent="0.3">
      <c r="A736" s="1">
        <v>45392</v>
      </c>
      <c r="B736" t="s">
        <v>30</v>
      </c>
      <c r="C736" t="s">
        <v>44</v>
      </c>
      <c r="D736" t="s">
        <v>35</v>
      </c>
      <c r="E736" t="s">
        <v>25</v>
      </c>
      <c r="F736" t="s">
        <v>26</v>
      </c>
      <c r="G736">
        <v>230</v>
      </c>
      <c r="H736">
        <v>905</v>
      </c>
      <c r="I736">
        <v>9711.3423170000005</v>
      </c>
      <c r="J736" t="b">
        <v>1</v>
      </c>
      <c r="K736">
        <v>4</v>
      </c>
      <c r="L736" t="b">
        <v>0</v>
      </c>
      <c r="M736">
        <v>14736.357400000001</v>
      </c>
      <c r="N736">
        <v>2849.5</v>
      </c>
      <c r="O736">
        <v>8224</v>
      </c>
      <c r="P736" t="s">
        <v>36</v>
      </c>
      <c r="Q736">
        <v>8.0715915072819791E-2</v>
      </c>
      <c r="R736" t="s">
        <v>40</v>
      </c>
      <c r="S736">
        <v>42.223227465217391</v>
      </c>
      <c r="T736">
        <v>0.34648589494163423</v>
      </c>
      <c r="U736" t="s">
        <v>34</v>
      </c>
      <c r="V736">
        <v>0</v>
      </c>
    </row>
    <row r="737" spans="1:22" x14ac:dyDescent="0.3">
      <c r="A737" s="1">
        <v>45391</v>
      </c>
      <c r="B737" t="s">
        <v>42</v>
      </c>
      <c r="C737" t="s">
        <v>31</v>
      </c>
      <c r="D737" t="s">
        <v>46</v>
      </c>
      <c r="E737" t="s">
        <v>45</v>
      </c>
      <c r="F737" t="s">
        <v>26</v>
      </c>
      <c r="G737">
        <v>608</v>
      </c>
      <c r="H737">
        <v>4794</v>
      </c>
      <c r="I737">
        <v>12761.81033</v>
      </c>
      <c r="J737" t="b">
        <v>0</v>
      </c>
      <c r="K737">
        <v>29</v>
      </c>
      <c r="L737" t="b">
        <v>0</v>
      </c>
      <c r="M737">
        <v>85177.311319999993</v>
      </c>
      <c r="N737">
        <v>3242</v>
      </c>
      <c r="O737">
        <v>9073</v>
      </c>
      <c r="P737" t="s">
        <v>27</v>
      </c>
      <c r="Q737">
        <v>0.18753855644663789</v>
      </c>
      <c r="R737" t="s">
        <v>37</v>
      </c>
      <c r="S737">
        <v>20.989819621710527</v>
      </c>
      <c r="T737">
        <v>0.35732392813843272</v>
      </c>
      <c r="U737" t="s">
        <v>34</v>
      </c>
      <c r="V737">
        <v>0</v>
      </c>
    </row>
    <row r="738" spans="1:22" x14ac:dyDescent="0.3">
      <c r="A738" s="1">
        <v>45390</v>
      </c>
      <c r="B738" t="s">
        <v>22</v>
      </c>
      <c r="C738" t="s">
        <v>31</v>
      </c>
      <c r="D738" t="s">
        <v>35</v>
      </c>
      <c r="E738" t="s">
        <v>25</v>
      </c>
      <c r="F738" t="s">
        <v>26</v>
      </c>
      <c r="G738">
        <v>370</v>
      </c>
      <c r="H738">
        <v>1690</v>
      </c>
      <c r="I738">
        <v>12107.773520000001</v>
      </c>
      <c r="J738" t="b">
        <v>1</v>
      </c>
      <c r="K738">
        <v>25</v>
      </c>
      <c r="L738" t="b">
        <v>0</v>
      </c>
      <c r="M738">
        <v>73054.734280000004</v>
      </c>
      <c r="N738">
        <v>2465</v>
      </c>
      <c r="O738">
        <v>8321</v>
      </c>
      <c r="P738" t="s">
        <v>36</v>
      </c>
      <c r="Q738">
        <v>0.15010141987829614</v>
      </c>
      <c r="R738" t="s">
        <v>37</v>
      </c>
      <c r="S738">
        <v>32.723712216216221</v>
      </c>
      <c r="T738">
        <v>0.29623843288066337</v>
      </c>
      <c r="U738" t="s">
        <v>34</v>
      </c>
      <c r="V738">
        <v>0</v>
      </c>
    </row>
    <row r="739" spans="1:22" x14ac:dyDescent="0.3">
      <c r="A739" s="1">
        <v>45389</v>
      </c>
      <c r="B739" t="s">
        <v>38</v>
      </c>
      <c r="C739" t="s">
        <v>23</v>
      </c>
      <c r="D739" t="s">
        <v>35</v>
      </c>
      <c r="E739" t="s">
        <v>45</v>
      </c>
      <c r="F739" t="s">
        <v>26</v>
      </c>
      <c r="G739">
        <v>397</v>
      </c>
      <c r="H739">
        <v>3240</v>
      </c>
      <c r="I739">
        <v>14941.90791</v>
      </c>
      <c r="J739" t="b">
        <v>0</v>
      </c>
      <c r="K739">
        <v>26</v>
      </c>
      <c r="L739" t="b">
        <v>0</v>
      </c>
      <c r="M739">
        <v>61079.705370000003</v>
      </c>
      <c r="N739">
        <v>3810</v>
      </c>
      <c r="O739">
        <v>9819</v>
      </c>
      <c r="P739" t="s">
        <v>36</v>
      </c>
      <c r="Q739">
        <v>0.1041994750656168</v>
      </c>
      <c r="R739" t="s">
        <v>37</v>
      </c>
      <c r="S739">
        <v>37.63704763224181</v>
      </c>
      <c r="T739">
        <v>0.38802322028719827</v>
      </c>
      <c r="U739" t="s">
        <v>34</v>
      </c>
      <c r="V739">
        <v>0</v>
      </c>
    </row>
    <row r="740" spans="1:22" x14ac:dyDescent="0.3">
      <c r="A740" s="1">
        <v>45388</v>
      </c>
      <c r="B740" t="s">
        <v>22</v>
      </c>
      <c r="C740" t="s">
        <v>31</v>
      </c>
      <c r="D740" t="s">
        <v>32</v>
      </c>
      <c r="E740" t="s">
        <v>33</v>
      </c>
      <c r="F740" t="s">
        <v>43</v>
      </c>
      <c r="G740">
        <v>274</v>
      </c>
      <c r="H740">
        <v>4380</v>
      </c>
      <c r="I740">
        <v>8232.9712560000007</v>
      </c>
      <c r="J740" t="b">
        <v>1</v>
      </c>
      <c r="K740">
        <v>27</v>
      </c>
      <c r="L740" t="b">
        <v>1</v>
      </c>
      <c r="M740">
        <v>28212.612519999999</v>
      </c>
      <c r="N740">
        <v>2591.5</v>
      </c>
      <c r="O740">
        <v>7647</v>
      </c>
      <c r="P740" t="s">
        <v>27</v>
      </c>
      <c r="Q740">
        <v>0.10573027204321821</v>
      </c>
      <c r="R740" t="s">
        <v>37</v>
      </c>
      <c r="S740">
        <v>30.047340350364966</v>
      </c>
      <c r="T740">
        <v>0.33889106839283378</v>
      </c>
      <c r="U740" t="s">
        <v>34</v>
      </c>
      <c r="V740">
        <v>1</v>
      </c>
    </row>
    <row r="741" spans="1:22" x14ac:dyDescent="0.3">
      <c r="A741" s="1">
        <v>45387</v>
      </c>
      <c r="B741" t="s">
        <v>38</v>
      </c>
      <c r="C741" t="s">
        <v>31</v>
      </c>
      <c r="D741" t="s">
        <v>35</v>
      </c>
      <c r="E741" t="s">
        <v>45</v>
      </c>
      <c r="F741" t="s">
        <v>26</v>
      </c>
      <c r="G741">
        <v>770</v>
      </c>
      <c r="H741">
        <v>803</v>
      </c>
      <c r="I741">
        <v>3700.1365839999999</v>
      </c>
      <c r="J741" t="b">
        <v>1</v>
      </c>
      <c r="K741">
        <v>13</v>
      </c>
      <c r="L741" t="b">
        <v>0</v>
      </c>
      <c r="M741">
        <v>27285.095659999999</v>
      </c>
      <c r="N741">
        <v>734.5</v>
      </c>
      <c r="O741">
        <v>7358</v>
      </c>
      <c r="P741" t="s">
        <v>27</v>
      </c>
      <c r="Q741">
        <v>1.0483321987746768</v>
      </c>
      <c r="R741" t="s">
        <v>28</v>
      </c>
      <c r="S741">
        <v>4.8053721870129866</v>
      </c>
      <c r="T741">
        <v>9.982332155477032E-2</v>
      </c>
      <c r="U741" t="s">
        <v>34</v>
      </c>
      <c r="V741">
        <v>0</v>
      </c>
    </row>
    <row r="742" spans="1:22" x14ac:dyDescent="0.3">
      <c r="A742" s="1">
        <v>45386</v>
      </c>
      <c r="B742" t="s">
        <v>30</v>
      </c>
      <c r="C742" t="s">
        <v>23</v>
      </c>
      <c r="D742" t="s">
        <v>35</v>
      </c>
      <c r="E742" t="s">
        <v>25</v>
      </c>
      <c r="F742" t="s">
        <v>26</v>
      </c>
      <c r="G742">
        <v>656</v>
      </c>
      <c r="H742">
        <v>666</v>
      </c>
      <c r="I742">
        <v>6400.027255</v>
      </c>
      <c r="J742" t="b">
        <v>1</v>
      </c>
      <c r="K742">
        <v>25</v>
      </c>
      <c r="L742" t="b">
        <v>0</v>
      </c>
      <c r="M742">
        <v>93411.867020000005</v>
      </c>
      <c r="N742">
        <v>1717</v>
      </c>
      <c r="O742">
        <v>6263</v>
      </c>
      <c r="P742" t="s">
        <v>36</v>
      </c>
      <c r="Q742">
        <v>0.38206173558532325</v>
      </c>
      <c r="R742" t="s">
        <v>37</v>
      </c>
      <c r="S742">
        <v>9.7561391082317073</v>
      </c>
      <c r="T742">
        <v>0.27414976848155836</v>
      </c>
      <c r="U742" t="s">
        <v>34</v>
      </c>
      <c r="V742">
        <v>0</v>
      </c>
    </row>
    <row r="743" spans="1:22" x14ac:dyDescent="0.3">
      <c r="A743" s="1">
        <v>45385</v>
      </c>
      <c r="B743" t="s">
        <v>30</v>
      </c>
      <c r="C743" t="s">
        <v>41</v>
      </c>
      <c r="D743" t="s">
        <v>24</v>
      </c>
      <c r="E743" t="s">
        <v>45</v>
      </c>
      <c r="F743" t="s">
        <v>39</v>
      </c>
      <c r="G743">
        <v>957</v>
      </c>
      <c r="H743">
        <v>2768</v>
      </c>
      <c r="I743">
        <v>857.71434079999995</v>
      </c>
      <c r="J743" t="b">
        <v>1</v>
      </c>
      <c r="K743">
        <v>4</v>
      </c>
      <c r="L743" t="b">
        <v>0</v>
      </c>
      <c r="M743">
        <v>108718.567</v>
      </c>
      <c r="N743">
        <v>1707.5</v>
      </c>
      <c r="O743">
        <v>7457</v>
      </c>
      <c r="P743" t="s">
        <v>27</v>
      </c>
      <c r="Q743">
        <v>0.56046852122986823</v>
      </c>
      <c r="R743" t="s">
        <v>40</v>
      </c>
      <c r="S743">
        <v>0.89625322967607102</v>
      </c>
      <c r="T743">
        <v>0.22897948236556256</v>
      </c>
      <c r="U743" t="s">
        <v>34</v>
      </c>
      <c r="V743">
        <v>0</v>
      </c>
    </row>
    <row r="744" spans="1:22" x14ac:dyDescent="0.3">
      <c r="A744" s="1">
        <v>45384</v>
      </c>
      <c r="B744" t="s">
        <v>42</v>
      </c>
      <c r="C744" t="s">
        <v>31</v>
      </c>
      <c r="D744" t="s">
        <v>24</v>
      </c>
      <c r="E744" t="s">
        <v>33</v>
      </c>
      <c r="F744" t="s">
        <v>26</v>
      </c>
      <c r="G744">
        <v>355</v>
      </c>
      <c r="H744">
        <v>647</v>
      </c>
      <c r="I744">
        <v>7882.7905010000004</v>
      </c>
      <c r="J744" t="b">
        <v>0</v>
      </c>
      <c r="K744">
        <v>9</v>
      </c>
      <c r="L744" t="b">
        <v>0</v>
      </c>
      <c r="M744">
        <v>8483.3009750000001</v>
      </c>
      <c r="N744">
        <v>386.5</v>
      </c>
      <c r="O744">
        <v>9874</v>
      </c>
      <c r="P744" t="s">
        <v>27</v>
      </c>
      <c r="Q744">
        <v>0.91849935316946962</v>
      </c>
      <c r="R744" t="s">
        <v>28</v>
      </c>
      <c r="S744">
        <v>22.205043664788732</v>
      </c>
      <c r="T744">
        <v>3.9143204375126597E-2</v>
      </c>
      <c r="U744" t="s">
        <v>34</v>
      </c>
      <c r="V744">
        <v>0</v>
      </c>
    </row>
    <row r="745" spans="1:22" x14ac:dyDescent="0.3">
      <c r="A745" s="1">
        <v>45383</v>
      </c>
      <c r="B745" t="s">
        <v>38</v>
      </c>
      <c r="C745" t="s">
        <v>44</v>
      </c>
      <c r="D745" t="s">
        <v>46</v>
      </c>
      <c r="E745" t="s">
        <v>33</v>
      </c>
      <c r="F745" t="s">
        <v>26</v>
      </c>
      <c r="G745">
        <v>928</v>
      </c>
      <c r="H745">
        <v>126</v>
      </c>
      <c r="I745">
        <v>1956.63447</v>
      </c>
      <c r="J745" t="b">
        <v>1</v>
      </c>
      <c r="K745">
        <v>7</v>
      </c>
      <c r="L745" t="b">
        <v>0</v>
      </c>
      <c r="M745">
        <v>49898.539530000002</v>
      </c>
      <c r="N745">
        <v>646.5</v>
      </c>
      <c r="O745">
        <v>9501</v>
      </c>
      <c r="P745" t="s">
        <v>36</v>
      </c>
      <c r="Q745">
        <v>1.4354215003866977</v>
      </c>
      <c r="R745" t="s">
        <v>40</v>
      </c>
      <c r="S745">
        <v>2.1084423168103448</v>
      </c>
      <c r="T745">
        <v>6.8045468898010733E-2</v>
      </c>
      <c r="U745" t="s">
        <v>34</v>
      </c>
      <c r="V745">
        <v>0</v>
      </c>
    </row>
    <row r="746" spans="1:22" x14ac:dyDescent="0.3">
      <c r="A746" s="1">
        <v>45382</v>
      </c>
      <c r="B746" t="s">
        <v>30</v>
      </c>
      <c r="C746" t="s">
        <v>31</v>
      </c>
      <c r="D746" t="s">
        <v>24</v>
      </c>
      <c r="E746" t="s">
        <v>33</v>
      </c>
      <c r="F746" t="s">
        <v>26</v>
      </c>
      <c r="G746">
        <v>459</v>
      </c>
      <c r="H746">
        <v>1167</v>
      </c>
      <c r="I746">
        <v>6483.8346009999996</v>
      </c>
      <c r="J746" t="b">
        <v>1</v>
      </c>
      <c r="K746">
        <v>11</v>
      </c>
      <c r="L746" t="b">
        <v>0</v>
      </c>
      <c r="M746">
        <v>44116.369209999997</v>
      </c>
      <c r="N746">
        <v>2592.5</v>
      </c>
      <c r="O746">
        <v>9417</v>
      </c>
      <c r="P746" t="s">
        <v>36</v>
      </c>
      <c r="Q746">
        <v>0.17704918032786884</v>
      </c>
      <c r="R746" t="s">
        <v>28</v>
      </c>
      <c r="S746">
        <v>14.12600130936819</v>
      </c>
      <c r="T746">
        <v>0.27529998938090688</v>
      </c>
      <c r="U746" t="s">
        <v>34</v>
      </c>
      <c r="V746">
        <v>0</v>
      </c>
    </row>
    <row r="747" spans="1:22" x14ac:dyDescent="0.3">
      <c r="A747" s="1">
        <v>45381</v>
      </c>
      <c r="B747" t="s">
        <v>22</v>
      </c>
      <c r="C747" t="s">
        <v>44</v>
      </c>
      <c r="D747" t="s">
        <v>46</v>
      </c>
      <c r="E747" t="s">
        <v>33</v>
      </c>
      <c r="F747" t="s">
        <v>26</v>
      </c>
      <c r="G747">
        <v>376</v>
      </c>
      <c r="H747">
        <v>4018</v>
      </c>
      <c r="I747">
        <v>570.59191099999998</v>
      </c>
      <c r="J747" t="b">
        <v>1</v>
      </c>
      <c r="K747">
        <v>21</v>
      </c>
      <c r="L747" t="b">
        <v>0</v>
      </c>
      <c r="M747">
        <v>8428.4628950000006</v>
      </c>
      <c r="N747">
        <v>4302</v>
      </c>
      <c r="O747">
        <v>5227</v>
      </c>
      <c r="P747" t="s">
        <v>36</v>
      </c>
      <c r="Q747">
        <v>8.7401208740120875E-2</v>
      </c>
      <c r="R747" t="s">
        <v>37</v>
      </c>
      <c r="S747">
        <v>1.5175316781914894</v>
      </c>
      <c r="T747">
        <v>0.82303424526497038</v>
      </c>
      <c r="U747" t="s">
        <v>29</v>
      </c>
      <c r="V747">
        <v>0</v>
      </c>
    </row>
    <row r="748" spans="1:22" x14ac:dyDescent="0.3">
      <c r="A748" s="1">
        <v>45380</v>
      </c>
      <c r="B748" t="s">
        <v>38</v>
      </c>
      <c r="C748" t="s">
        <v>31</v>
      </c>
      <c r="D748" t="s">
        <v>46</v>
      </c>
      <c r="E748" t="s">
        <v>25</v>
      </c>
      <c r="F748" t="s">
        <v>26</v>
      </c>
      <c r="G748">
        <v>53</v>
      </c>
      <c r="H748">
        <v>4586</v>
      </c>
      <c r="I748">
        <v>14606.240299999999</v>
      </c>
      <c r="J748" t="b">
        <v>1</v>
      </c>
      <c r="K748">
        <v>21</v>
      </c>
      <c r="L748" t="b">
        <v>0</v>
      </c>
      <c r="M748">
        <v>1981.0915660000001</v>
      </c>
      <c r="N748">
        <v>3927</v>
      </c>
      <c r="O748">
        <v>8483</v>
      </c>
      <c r="P748" t="s">
        <v>27</v>
      </c>
      <c r="Q748">
        <v>1.3496307613954673E-2</v>
      </c>
      <c r="R748" t="s">
        <v>37</v>
      </c>
      <c r="S748">
        <v>275.58943962264152</v>
      </c>
      <c r="T748">
        <v>0.46292585170340683</v>
      </c>
      <c r="U748" t="s">
        <v>29</v>
      </c>
      <c r="V748">
        <v>0</v>
      </c>
    </row>
    <row r="749" spans="1:22" x14ac:dyDescent="0.3">
      <c r="A749" s="1">
        <v>45379</v>
      </c>
      <c r="B749" t="s">
        <v>38</v>
      </c>
      <c r="C749" t="s">
        <v>44</v>
      </c>
      <c r="D749" t="s">
        <v>35</v>
      </c>
      <c r="E749" t="s">
        <v>45</v>
      </c>
      <c r="F749" t="s">
        <v>26</v>
      </c>
      <c r="G749">
        <v>390</v>
      </c>
      <c r="H749">
        <v>3268</v>
      </c>
      <c r="I749">
        <v>7454.5639030000002</v>
      </c>
      <c r="J749" t="b">
        <v>1</v>
      </c>
      <c r="K749">
        <v>23</v>
      </c>
      <c r="L749" t="b">
        <v>0</v>
      </c>
      <c r="M749">
        <v>18156.173159999998</v>
      </c>
      <c r="N749">
        <v>2134.5</v>
      </c>
      <c r="O749">
        <v>7785</v>
      </c>
      <c r="P749" t="s">
        <v>27</v>
      </c>
      <c r="Q749">
        <v>0.18271257905832747</v>
      </c>
      <c r="R749" t="s">
        <v>37</v>
      </c>
      <c r="S749">
        <v>19.11426641794872</v>
      </c>
      <c r="T749">
        <v>0.27418111753371871</v>
      </c>
      <c r="U749" t="s">
        <v>34</v>
      </c>
      <c r="V749">
        <v>0</v>
      </c>
    </row>
    <row r="750" spans="1:22" x14ac:dyDescent="0.3">
      <c r="A750" s="1">
        <v>45378</v>
      </c>
      <c r="B750" t="s">
        <v>38</v>
      </c>
      <c r="C750" t="s">
        <v>44</v>
      </c>
      <c r="D750" t="s">
        <v>35</v>
      </c>
      <c r="E750" t="s">
        <v>25</v>
      </c>
      <c r="F750" t="s">
        <v>26</v>
      </c>
      <c r="G750">
        <v>936</v>
      </c>
      <c r="H750">
        <v>1001</v>
      </c>
      <c r="I750">
        <v>4696.8273360000003</v>
      </c>
      <c r="J750" t="b">
        <v>1</v>
      </c>
      <c r="K750">
        <v>18</v>
      </c>
      <c r="L750" t="b">
        <v>0</v>
      </c>
      <c r="M750">
        <v>74838.253140000001</v>
      </c>
      <c r="N750">
        <v>1161</v>
      </c>
      <c r="O750">
        <v>8915</v>
      </c>
      <c r="P750" t="s">
        <v>36</v>
      </c>
      <c r="Q750">
        <v>0.80620155038759689</v>
      </c>
      <c r="R750" t="s">
        <v>37</v>
      </c>
      <c r="S750">
        <v>5.0179779230769235</v>
      </c>
      <c r="T750">
        <v>0.13022994952327538</v>
      </c>
      <c r="U750" t="s">
        <v>34</v>
      </c>
      <c r="V750">
        <v>0</v>
      </c>
    </row>
    <row r="751" spans="1:22" x14ac:dyDescent="0.3">
      <c r="A751" s="1">
        <v>45377</v>
      </c>
      <c r="B751" t="s">
        <v>38</v>
      </c>
      <c r="C751" t="s">
        <v>31</v>
      </c>
      <c r="D751" t="s">
        <v>32</v>
      </c>
      <c r="E751" t="s">
        <v>45</v>
      </c>
      <c r="F751" t="s">
        <v>39</v>
      </c>
      <c r="G751">
        <v>956</v>
      </c>
      <c r="H751">
        <v>1321</v>
      </c>
      <c r="I751">
        <v>14485.07926</v>
      </c>
      <c r="J751" t="b">
        <v>1</v>
      </c>
      <c r="K751">
        <v>16</v>
      </c>
      <c r="L751" t="b">
        <v>0</v>
      </c>
      <c r="M751">
        <v>172452.77780000001</v>
      </c>
      <c r="N751">
        <v>2275</v>
      </c>
      <c r="O751">
        <v>7207</v>
      </c>
      <c r="P751" t="s">
        <v>36</v>
      </c>
      <c r="Q751">
        <v>0.42021978021978024</v>
      </c>
      <c r="R751" t="s">
        <v>37</v>
      </c>
      <c r="S751">
        <v>15.151756548117156</v>
      </c>
      <c r="T751">
        <v>0.3156653253781046</v>
      </c>
      <c r="U751" t="s">
        <v>34</v>
      </c>
      <c r="V751">
        <v>0</v>
      </c>
    </row>
    <row r="752" spans="1:22" x14ac:dyDescent="0.3">
      <c r="A752" s="1">
        <v>45376</v>
      </c>
      <c r="B752" t="s">
        <v>38</v>
      </c>
      <c r="C752" t="s">
        <v>44</v>
      </c>
      <c r="D752" t="s">
        <v>46</v>
      </c>
      <c r="E752" t="s">
        <v>25</v>
      </c>
      <c r="F752" t="s">
        <v>26</v>
      </c>
      <c r="G752">
        <v>178</v>
      </c>
      <c r="H752">
        <v>3229</v>
      </c>
      <c r="I752">
        <v>14452.0872</v>
      </c>
      <c r="J752" t="b">
        <v>1</v>
      </c>
      <c r="K752">
        <v>25</v>
      </c>
      <c r="L752" t="b">
        <v>0</v>
      </c>
      <c r="M752">
        <v>11584.20659</v>
      </c>
      <c r="N752">
        <v>2938.5</v>
      </c>
      <c r="O752">
        <v>6301</v>
      </c>
      <c r="P752" t="s">
        <v>27</v>
      </c>
      <c r="Q752">
        <v>6.0575123362259654E-2</v>
      </c>
      <c r="R752" t="s">
        <v>37</v>
      </c>
      <c r="S752">
        <v>81.191501123595501</v>
      </c>
      <c r="T752">
        <v>0.46635454689731787</v>
      </c>
      <c r="U752" t="s">
        <v>29</v>
      </c>
      <c r="V752">
        <v>0</v>
      </c>
    </row>
    <row r="753" spans="1:22" x14ac:dyDescent="0.3">
      <c r="A753" s="1">
        <v>45375</v>
      </c>
      <c r="B753" t="s">
        <v>30</v>
      </c>
      <c r="C753" t="s">
        <v>41</v>
      </c>
      <c r="D753" t="s">
        <v>24</v>
      </c>
      <c r="E753" t="s">
        <v>25</v>
      </c>
      <c r="F753" t="s">
        <v>26</v>
      </c>
      <c r="G753">
        <v>137</v>
      </c>
      <c r="H753">
        <v>2648</v>
      </c>
      <c r="I753">
        <v>4943.4138800000001</v>
      </c>
      <c r="J753" t="b">
        <v>1</v>
      </c>
      <c r="K753">
        <v>22</v>
      </c>
      <c r="L753" t="b">
        <v>0</v>
      </c>
      <c r="M753">
        <v>16021.4663</v>
      </c>
      <c r="N753">
        <v>3797</v>
      </c>
      <c r="O753">
        <v>7074</v>
      </c>
      <c r="P753" t="s">
        <v>36</v>
      </c>
      <c r="Q753">
        <v>3.6081116671056096E-2</v>
      </c>
      <c r="R753" t="s">
        <v>37</v>
      </c>
      <c r="S753">
        <v>36.083312992700733</v>
      </c>
      <c r="T753">
        <v>0.53675431156347186</v>
      </c>
      <c r="U753" t="s">
        <v>29</v>
      </c>
      <c r="V753">
        <v>0</v>
      </c>
    </row>
    <row r="754" spans="1:22" x14ac:dyDescent="0.3">
      <c r="A754" s="1">
        <v>45374</v>
      </c>
      <c r="B754" t="s">
        <v>38</v>
      </c>
      <c r="C754" t="s">
        <v>23</v>
      </c>
      <c r="D754" t="s">
        <v>32</v>
      </c>
      <c r="E754" t="s">
        <v>33</v>
      </c>
      <c r="F754" t="s">
        <v>26</v>
      </c>
      <c r="G754">
        <v>156</v>
      </c>
      <c r="H754">
        <v>4946</v>
      </c>
      <c r="I754">
        <v>6732.747711</v>
      </c>
      <c r="J754" t="b">
        <v>1</v>
      </c>
      <c r="K754">
        <v>16</v>
      </c>
      <c r="L754" t="b">
        <v>0</v>
      </c>
      <c r="M754">
        <v>14658.677680000001</v>
      </c>
      <c r="N754">
        <v>2741.5</v>
      </c>
      <c r="O754">
        <v>8197</v>
      </c>
      <c r="P754" t="s">
        <v>27</v>
      </c>
      <c r="Q754">
        <v>5.6903155207003467E-2</v>
      </c>
      <c r="R754" t="s">
        <v>37</v>
      </c>
      <c r="S754">
        <v>43.158639173076921</v>
      </c>
      <c r="T754">
        <v>0.33445162864462608</v>
      </c>
      <c r="U754" t="s">
        <v>34</v>
      </c>
      <c r="V754">
        <v>0</v>
      </c>
    </row>
    <row r="755" spans="1:22" x14ac:dyDescent="0.3">
      <c r="A755" s="1">
        <v>45373</v>
      </c>
      <c r="B755" t="s">
        <v>30</v>
      </c>
      <c r="C755" t="s">
        <v>31</v>
      </c>
      <c r="D755" t="s">
        <v>46</v>
      </c>
      <c r="E755" t="s">
        <v>45</v>
      </c>
      <c r="F755" t="s">
        <v>39</v>
      </c>
      <c r="G755">
        <v>976</v>
      </c>
      <c r="H755">
        <v>537</v>
      </c>
      <c r="I755">
        <v>10866.02735</v>
      </c>
      <c r="J755" t="b">
        <v>1</v>
      </c>
      <c r="K755">
        <v>19</v>
      </c>
      <c r="L755" t="b">
        <v>0</v>
      </c>
      <c r="M755">
        <v>97923.641919999995</v>
      </c>
      <c r="N755">
        <v>382.5</v>
      </c>
      <c r="O755">
        <v>6145</v>
      </c>
      <c r="P755" t="s">
        <v>27</v>
      </c>
      <c r="Q755">
        <v>2.5516339869281044</v>
      </c>
      <c r="R755" t="s">
        <v>37</v>
      </c>
      <c r="S755">
        <v>11.133224743852459</v>
      </c>
      <c r="T755">
        <v>6.2245728234336863E-2</v>
      </c>
      <c r="U755" t="s">
        <v>34</v>
      </c>
      <c r="V755">
        <v>0</v>
      </c>
    </row>
    <row r="756" spans="1:22" x14ac:dyDescent="0.3">
      <c r="A756" s="1">
        <v>45372</v>
      </c>
      <c r="B756" t="s">
        <v>30</v>
      </c>
      <c r="C756" t="s">
        <v>31</v>
      </c>
      <c r="D756" t="s">
        <v>32</v>
      </c>
      <c r="E756" t="s">
        <v>33</v>
      </c>
      <c r="F756" t="s">
        <v>26</v>
      </c>
      <c r="G756">
        <v>294</v>
      </c>
      <c r="H756">
        <v>228</v>
      </c>
      <c r="I756">
        <v>9651.1969040000004</v>
      </c>
      <c r="J756" t="b">
        <v>1</v>
      </c>
      <c r="K756">
        <v>28</v>
      </c>
      <c r="L756" t="b">
        <v>0</v>
      </c>
      <c r="M756">
        <v>29146.581450000001</v>
      </c>
      <c r="N756">
        <v>1624</v>
      </c>
      <c r="O756">
        <v>9225</v>
      </c>
      <c r="P756" t="s">
        <v>36</v>
      </c>
      <c r="Q756">
        <v>0.18103448275862069</v>
      </c>
      <c r="R756" t="s">
        <v>37</v>
      </c>
      <c r="S756">
        <v>32.827200353741496</v>
      </c>
      <c r="T756">
        <v>0.17604336043360433</v>
      </c>
      <c r="U756" t="s">
        <v>34</v>
      </c>
      <c r="V756">
        <v>0</v>
      </c>
    </row>
    <row r="757" spans="1:22" x14ac:dyDescent="0.3">
      <c r="A757" s="1">
        <v>45371</v>
      </c>
      <c r="B757" t="s">
        <v>42</v>
      </c>
      <c r="C757" t="s">
        <v>41</v>
      </c>
      <c r="D757" t="s">
        <v>46</v>
      </c>
      <c r="E757" t="s">
        <v>45</v>
      </c>
      <c r="F757" t="s">
        <v>26</v>
      </c>
      <c r="G757">
        <v>472</v>
      </c>
      <c r="H757">
        <v>3020</v>
      </c>
      <c r="I757">
        <v>5701.9585489999999</v>
      </c>
      <c r="J757" t="b">
        <v>1</v>
      </c>
      <c r="K757">
        <v>9</v>
      </c>
      <c r="L757" t="b">
        <v>0</v>
      </c>
      <c r="M757">
        <v>49313.707320000001</v>
      </c>
      <c r="N757">
        <v>2490.5</v>
      </c>
      <c r="O757">
        <v>6322</v>
      </c>
      <c r="P757" t="s">
        <v>27</v>
      </c>
      <c r="Q757">
        <v>0.18952017667135113</v>
      </c>
      <c r="R757" t="s">
        <v>28</v>
      </c>
      <c r="S757">
        <v>12.080420654661017</v>
      </c>
      <c r="T757">
        <v>0.39394179057260359</v>
      </c>
      <c r="U757" t="s">
        <v>34</v>
      </c>
      <c r="V757">
        <v>0</v>
      </c>
    </row>
    <row r="758" spans="1:22" x14ac:dyDescent="0.3">
      <c r="A758" s="1">
        <v>45370</v>
      </c>
      <c r="B758" t="s">
        <v>42</v>
      </c>
      <c r="C758" t="s">
        <v>44</v>
      </c>
      <c r="D758" t="s">
        <v>35</v>
      </c>
      <c r="E758" t="s">
        <v>45</v>
      </c>
      <c r="F758" t="s">
        <v>26</v>
      </c>
      <c r="G758">
        <v>351</v>
      </c>
      <c r="H758">
        <v>1961</v>
      </c>
      <c r="I758">
        <v>12899.897499999999</v>
      </c>
      <c r="J758" t="b">
        <v>1</v>
      </c>
      <c r="K758">
        <v>7</v>
      </c>
      <c r="L758" t="b">
        <v>0</v>
      </c>
      <c r="M758">
        <v>50591.186170000001</v>
      </c>
      <c r="N758">
        <v>2380</v>
      </c>
      <c r="O758">
        <v>8048</v>
      </c>
      <c r="P758" t="s">
        <v>36</v>
      </c>
      <c r="Q758">
        <v>0.14747899159663866</v>
      </c>
      <c r="R758" t="s">
        <v>40</v>
      </c>
      <c r="S758">
        <v>36.751844729344725</v>
      </c>
      <c r="T758">
        <v>0.29572564612326041</v>
      </c>
      <c r="U758" t="s">
        <v>34</v>
      </c>
      <c r="V758">
        <v>0</v>
      </c>
    </row>
    <row r="759" spans="1:22" x14ac:dyDescent="0.3">
      <c r="A759" s="1">
        <v>45369</v>
      </c>
      <c r="B759" t="s">
        <v>22</v>
      </c>
      <c r="C759" t="s">
        <v>41</v>
      </c>
      <c r="D759" t="s">
        <v>24</v>
      </c>
      <c r="E759" t="s">
        <v>25</v>
      </c>
      <c r="F759" t="s">
        <v>26</v>
      </c>
      <c r="G759">
        <v>65</v>
      </c>
      <c r="H759">
        <v>2799</v>
      </c>
      <c r="I759">
        <v>909.3170149</v>
      </c>
      <c r="J759" t="b">
        <v>1</v>
      </c>
      <c r="K759">
        <v>2</v>
      </c>
      <c r="L759" t="b">
        <v>0</v>
      </c>
      <c r="M759">
        <v>7643.0088589999996</v>
      </c>
      <c r="N759">
        <v>2001.5</v>
      </c>
      <c r="O759">
        <v>6773</v>
      </c>
      <c r="P759" t="s">
        <v>27</v>
      </c>
      <c r="Q759">
        <v>3.2475643267549335E-2</v>
      </c>
      <c r="R759" t="s">
        <v>40</v>
      </c>
      <c r="S759">
        <v>13.989492536923077</v>
      </c>
      <c r="T759">
        <v>0.29551159013730993</v>
      </c>
      <c r="U759" t="s">
        <v>34</v>
      </c>
      <c r="V759">
        <v>0</v>
      </c>
    </row>
    <row r="760" spans="1:22" x14ac:dyDescent="0.3">
      <c r="A760" s="1">
        <v>45368</v>
      </c>
      <c r="B760" t="s">
        <v>42</v>
      </c>
      <c r="C760" t="s">
        <v>41</v>
      </c>
      <c r="D760" t="s">
        <v>24</v>
      </c>
      <c r="E760" t="s">
        <v>45</v>
      </c>
      <c r="F760" t="s">
        <v>26</v>
      </c>
      <c r="G760">
        <v>193</v>
      </c>
      <c r="H760">
        <v>1204</v>
      </c>
      <c r="I760">
        <v>6039.7812960000001</v>
      </c>
      <c r="J760" t="b">
        <v>1</v>
      </c>
      <c r="K760">
        <v>19</v>
      </c>
      <c r="L760" t="b">
        <v>0</v>
      </c>
      <c r="M760">
        <v>33749.258569999998</v>
      </c>
      <c r="N760">
        <v>714</v>
      </c>
      <c r="O760">
        <v>7845</v>
      </c>
      <c r="P760" t="s">
        <v>27</v>
      </c>
      <c r="Q760">
        <v>0.2703081232492997</v>
      </c>
      <c r="R760" t="s">
        <v>37</v>
      </c>
      <c r="S760">
        <v>31.294203606217618</v>
      </c>
      <c r="T760">
        <v>9.1013384321223703E-2</v>
      </c>
      <c r="U760" t="s">
        <v>34</v>
      </c>
      <c r="V760">
        <v>0</v>
      </c>
    </row>
    <row r="761" spans="1:22" x14ac:dyDescent="0.3">
      <c r="A761" s="1">
        <v>45367</v>
      </c>
      <c r="B761" t="s">
        <v>22</v>
      </c>
      <c r="C761" t="s">
        <v>23</v>
      </c>
      <c r="D761" t="s">
        <v>24</v>
      </c>
      <c r="E761" t="s">
        <v>45</v>
      </c>
      <c r="F761" t="s">
        <v>26</v>
      </c>
      <c r="G761">
        <v>913</v>
      </c>
      <c r="H761">
        <v>224</v>
      </c>
      <c r="I761">
        <v>2315.835372</v>
      </c>
      <c r="J761" t="b">
        <v>1</v>
      </c>
      <c r="K761">
        <v>4</v>
      </c>
      <c r="L761" t="b">
        <v>0</v>
      </c>
      <c r="M761">
        <v>88005.286749999999</v>
      </c>
      <c r="N761">
        <v>1402.5</v>
      </c>
      <c r="O761">
        <v>9620</v>
      </c>
      <c r="P761" t="s">
        <v>36</v>
      </c>
      <c r="Q761">
        <v>0.65098039215686276</v>
      </c>
      <c r="R761" t="s">
        <v>40</v>
      </c>
      <c r="S761">
        <v>2.5365119079956187</v>
      </c>
      <c r="T761">
        <v>0.14579002079002079</v>
      </c>
      <c r="U761" t="s">
        <v>34</v>
      </c>
      <c r="V761">
        <v>0</v>
      </c>
    </row>
    <row r="762" spans="1:22" x14ac:dyDescent="0.3">
      <c r="A762" s="1">
        <v>45366</v>
      </c>
      <c r="B762" t="s">
        <v>30</v>
      </c>
      <c r="C762" t="s">
        <v>44</v>
      </c>
      <c r="D762" t="s">
        <v>35</v>
      </c>
      <c r="E762" t="s">
        <v>33</v>
      </c>
      <c r="F762" t="s">
        <v>26</v>
      </c>
      <c r="G762">
        <v>834</v>
      </c>
      <c r="H762">
        <v>2581</v>
      </c>
      <c r="I762">
        <v>14022.73201</v>
      </c>
      <c r="J762" t="b">
        <v>1</v>
      </c>
      <c r="K762">
        <v>22</v>
      </c>
      <c r="L762" t="b">
        <v>0</v>
      </c>
      <c r="M762">
        <v>88080.166620000004</v>
      </c>
      <c r="N762">
        <v>1857</v>
      </c>
      <c r="O762">
        <v>8477</v>
      </c>
      <c r="P762" t="s">
        <v>27</v>
      </c>
      <c r="Q762">
        <v>0.44911147011308561</v>
      </c>
      <c r="R762" t="s">
        <v>37</v>
      </c>
      <c r="S762">
        <v>16.813827350119904</v>
      </c>
      <c r="T762">
        <v>0.21906334788250562</v>
      </c>
      <c r="U762" t="s">
        <v>34</v>
      </c>
      <c r="V762">
        <v>0</v>
      </c>
    </row>
    <row r="763" spans="1:22" x14ac:dyDescent="0.3">
      <c r="A763" s="1">
        <v>45365</v>
      </c>
      <c r="B763" t="s">
        <v>30</v>
      </c>
      <c r="C763" t="s">
        <v>41</v>
      </c>
      <c r="D763" t="s">
        <v>24</v>
      </c>
      <c r="E763" t="s">
        <v>33</v>
      </c>
      <c r="F763" t="s">
        <v>26</v>
      </c>
      <c r="G763">
        <v>365</v>
      </c>
      <c r="H763">
        <v>1133</v>
      </c>
      <c r="I763">
        <v>14036.91661</v>
      </c>
      <c r="J763" t="b">
        <v>1</v>
      </c>
      <c r="K763">
        <v>14</v>
      </c>
      <c r="L763" t="b">
        <v>0</v>
      </c>
      <c r="M763">
        <v>22246.151529999999</v>
      </c>
      <c r="N763">
        <v>617</v>
      </c>
      <c r="O763">
        <v>5525</v>
      </c>
      <c r="P763" t="s">
        <v>27</v>
      </c>
      <c r="Q763">
        <v>0.5915721231766613</v>
      </c>
      <c r="R763" t="s">
        <v>28</v>
      </c>
      <c r="S763">
        <v>38.457305780821919</v>
      </c>
      <c r="T763">
        <v>0.11167420814479638</v>
      </c>
      <c r="U763" t="s">
        <v>34</v>
      </c>
      <c r="V763">
        <v>0</v>
      </c>
    </row>
    <row r="764" spans="1:22" x14ac:dyDescent="0.3">
      <c r="A764" s="1">
        <v>45364</v>
      </c>
      <c r="B764" t="s">
        <v>42</v>
      </c>
      <c r="C764" t="s">
        <v>41</v>
      </c>
      <c r="D764" t="s">
        <v>24</v>
      </c>
      <c r="E764" t="s">
        <v>33</v>
      </c>
      <c r="F764" t="s">
        <v>26</v>
      </c>
      <c r="G764">
        <v>243</v>
      </c>
      <c r="H764">
        <v>101</v>
      </c>
      <c r="I764">
        <v>12870.358490000001</v>
      </c>
      <c r="J764" t="b">
        <v>1</v>
      </c>
      <c r="K764">
        <v>17</v>
      </c>
      <c r="L764" t="b">
        <v>0</v>
      </c>
      <c r="M764">
        <v>5786.9488499999998</v>
      </c>
      <c r="N764">
        <v>1453.5</v>
      </c>
      <c r="O764">
        <v>5870</v>
      </c>
      <c r="P764" t="s">
        <v>36</v>
      </c>
      <c r="Q764">
        <v>0.16718266253869968</v>
      </c>
      <c r="R764" t="s">
        <v>37</v>
      </c>
      <c r="S764">
        <v>52.964438230452679</v>
      </c>
      <c r="T764">
        <v>0.24761499148211244</v>
      </c>
      <c r="U764" t="s">
        <v>34</v>
      </c>
      <c r="V764">
        <v>0</v>
      </c>
    </row>
    <row r="765" spans="1:22" x14ac:dyDescent="0.3">
      <c r="A765" s="1">
        <v>45363</v>
      </c>
      <c r="B765" t="s">
        <v>42</v>
      </c>
      <c r="C765" t="s">
        <v>41</v>
      </c>
      <c r="D765" t="s">
        <v>46</v>
      </c>
      <c r="E765" t="s">
        <v>33</v>
      </c>
      <c r="F765" t="s">
        <v>43</v>
      </c>
      <c r="G765">
        <v>179</v>
      </c>
      <c r="H765">
        <v>2806</v>
      </c>
      <c r="I765">
        <v>7290.3585759999996</v>
      </c>
      <c r="J765" t="b">
        <v>1</v>
      </c>
      <c r="K765">
        <v>10</v>
      </c>
      <c r="L765" t="b">
        <v>0</v>
      </c>
      <c r="M765">
        <v>18460.305479999999</v>
      </c>
      <c r="N765">
        <v>3804.5</v>
      </c>
      <c r="O765">
        <v>9911</v>
      </c>
      <c r="P765" t="s">
        <v>36</v>
      </c>
      <c r="Q765">
        <v>4.7049546589564992E-2</v>
      </c>
      <c r="R765" t="s">
        <v>28</v>
      </c>
      <c r="S765">
        <v>40.728260201117315</v>
      </c>
      <c r="T765">
        <v>0.38386641105841995</v>
      </c>
      <c r="U765" t="s">
        <v>34</v>
      </c>
      <c r="V765">
        <v>0</v>
      </c>
    </row>
    <row r="766" spans="1:22" x14ac:dyDescent="0.3">
      <c r="A766" s="1">
        <v>45362</v>
      </c>
      <c r="B766" t="s">
        <v>42</v>
      </c>
      <c r="C766" t="s">
        <v>31</v>
      </c>
      <c r="D766" t="s">
        <v>35</v>
      </c>
      <c r="E766" t="s">
        <v>33</v>
      </c>
      <c r="F766" t="s">
        <v>43</v>
      </c>
      <c r="G766">
        <v>187</v>
      </c>
      <c r="H766">
        <v>4803</v>
      </c>
      <c r="I766">
        <v>1236.6375499999999</v>
      </c>
      <c r="J766" t="b">
        <v>0</v>
      </c>
      <c r="K766">
        <v>11</v>
      </c>
      <c r="L766" t="b">
        <v>0</v>
      </c>
      <c r="M766">
        <v>33147.824000000001</v>
      </c>
      <c r="N766">
        <v>2614.5</v>
      </c>
      <c r="O766">
        <v>9298</v>
      </c>
      <c r="P766" t="s">
        <v>27</v>
      </c>
      <c r="Q766">
        <v>7.1524192006119716E-2</v>
      </c>
      <c r="R766" t="s">
        <v>28</v>
      </c>
      <c r="S766">
        <v>6.6130350267379674</v>
      </c>
      <c r="T766">
        <v>0.2811895031189503</v>
      </c>
      <c r="U766" t="s">
        <v>34</v>
      </c>
      <c r="V766">
        <v>0</v>
      </c>
    </row>
    <row r="767" spans="1:22" x14ac:dyDescent="0.3">
      <c r="A767" s="1">
        <v>45361</v>
      </c>
      <c r="B767" t="s">
        <v>42</v>
      </c>
      <c r="C767" t="s">
        <v>41</v>
      </c>
      <c r="D767" t="s">
        <v>35</v>
      </c>
      <c r="E767" t="s">
        <v>45</v>
      </c>
      <c r="F767" t="s">
        <v>26</v>
      </c>
      <c r="G767">
        <v>933</v>
      </c>
      <c r="H767">
        <v>426</v>
      </c>
      <c r="I767">
        <v>4884.7382340000004</v>
      </c>
      <c r="J767" t="b">
        <v>1</v>
      </c>
      <c r="K767">
        <v>22</v>
      </c>
      <c r="L767" t="b">
        <v>0</v>
      </c>
      <c r="M767">
        <v>93473.522100000002</v>
      </c>
      <c r="N767">
        <v>1512.5</v>
      </c>
      <c r="O767">
        <v>8049</v>
      </c>
      <c r="P767" t="s">
        <v>36</v>
      </c>
      <c r="Q767">
        <v>0.61685950413223145</v>
      </c>
      <c r="R767" t="s">
        <v>37</v>
      </c>
      <c r="S767">
        <v>5.2355179356913188</v>
      </c>
      <c r="T767">
        <v>0.18791154180643557</v>
      </c>
      <c r="U767" t="s">
        <v>34</v>
      </c>
      <c r="V767">
        <v>0</v>
      </c>
    </row>
    <row r="768" spans="1:22" x14ac:dyDescent="0.3">
      <c r="A768" s="1">
        <v>45360</v>
      </c>
      <c r="B768" t="s">
        <v>42</v>
      </c>
      <c r="C768" t="s">
        <v>31</v>
      </c>
      <c r="D768" t="s">
        <v>24</v>
      </c>
      <c r="E768" t="s">
        <v>45</v>
      </c>
      <c r="F768" t="s">
        <v>26</v>
      </c>
      <c r="G768">
        <v>236</v>
      </c>
      <c r="H768">
        <v>2599</v>
      </c>
      <c r="I768">
        <v>3133.6556169999999</v>
      </c>
      <c r="J768" t="b">
        <v>1</v>
      </c>
      <c r="K768">
        <v>16</v>
      </c>
      <c r="L768" t="b">
        <v>0</v>
      </c>
      <c r="M768">
        <v>21907.657910000002</v>
      </c>
      <c r="N768">
        <v>1851.5</v>
      </c>
      <c r="O768">
        <v>7880</v>
      </c>
      <c r="P768" t="s">
        <v>27</v>
      </c>
      <c r="Q768">
        <v>0.12746421820145828</v>
      </c>
      <c r="R768" t="s">
        <v>37</v>
      </c>
      <c r="S768">
        <v>13.278201766949152</v>
      </c>
      <c r="T768">
        <v>0.23496192893401016</v>
      </c>
      <c r="U768" t="s">
        <v>34</v>
      </c>
      <c r="V768">
        <v>0</v>
      </c>
    </row>
    <row r="769" spans="1:22" x14ac:dyDescent="0.3">
      <c r="A769" s="1">
        <v>45359</v>
      </c>
      <c r="B769" t="s">
        <v>22</v>
      </c>
      <c r="C769" t="s">
        <v>23</v>
      </c>
      <c r="D769" t="s">
        <v>24</v>
      </c>
      <c r="E769" t="s">
        <v>25</v>
      </c>
      <c r="F769" t="s">
        <v>39</v>
      </c>
      <c r="G769">
        <v>883</v>
      </c>
      <c r="H769">
        <v>1104</v>
      </c>
      <c r="I769">
        <v>7151.2241770000001</v>
      </c>
      <c r="J769" t="b">
        <v>1</v>
      </c>
      <c r="K769">
        <v>26</v>
      </c>
      <c r="L769" t="b">
        <v>0</v>
      </c>
      <c r="M769">
        <v>124854.31050000001</v>
      </c>
      <c r="N769">
        <v>1679.5</v>
      </c>
      <c r="O769">
        <v>5061</v>
      </c>
      <c r="P769" t="s">
        <v>36</v>
      </c>
      <c r="Q769">
        <v>0.52575171181899372</v>
      </c>
      <c r="R769" t="s">
        <v>37</v>
      </c>
      <c r="S769">
        <v>8.0987816274065683</v>
      </c>
      <c r="T769">
        <v>0.33185141276427582</v>
      </c>
      <c r="U769" t="s">
        <v>34</v>
      </c>
      <c r="V769">
        <v>0</v>
      </c>
    </row>
    <row r="770" spans="1:22" x14ac:dyDescent="0.3">
      <c r="A770" s="1">
        <v>45358</v>
      </c>
      <c r="B770" t="s">
        <v>38</v>
      </c>
      <c r="C770" t="s">
        <v>31</v>
      </c>
      <c r="D770" t="s">
        <v>46</v>
      </c>
      <c r="E770" t="s">
        <v>45</v>
      </c>
      <c r="F770" t="s">
        <v>26</v>
      </c>
      <c r="G770">
        <v>337</v>
      </c>
      <c r="H770">
        <v>2255</v>
      </c>
      <c r="I770">
        <v>13984.06611</v>
      </c>
      <c r="J770" t="b">
        <v>1</v>
      </c>
      <c r="K770">
        <v>14</v>
      </c>
      <c r="L770" t="b">
        <v>0</v>
      </c>
      <c r="M770">
        <v>8781.229147</v>
      </c>
      <c r="N770">
        <v>2876.5</v>
      </c>
      <c r="O770">
        <v>5946</v>
      </c>
      <c r="P770" t="s">
        <v>36</v>
      </c>
      <c r="Q770">
        <v>0.11715626629584565</v>
      </c>
      <c r="R770" t="s">
        <v>28</v>
      </c>
      <c r="S770">
        <v>41.495745133531159</v>
      </c>
      <c r="T770">
        <v>0.4837706020854356</v>
      </c>
      <c r="U770" t="s">
        <v>29</v>
      </c>
      <c r="V770">
        <v>0</v>
      </c>
    </row>
    <row r="771" spans="1:22" x14ac:dyDescent="0.3">
      <c r="A771" s="1">
        <v>45357</v>
      </c>
      <c r="B771" t="s">
        <v>22</v>
      </c>
      <c r="C771" t="s">
        <v>31</v>
      </c>
      <c r="D771" t="s">
        <v>32</v>
      </c>
      <c r="E771" t="s">
        <v>25</v>
      </c>
      <c r="F771" t="s">
        <v>26</v>
      </c>
      <c r="G771">
        <v>230</v>
      </c>
      <c r="H771">
        <v>3498</v>
      </c>
      <c r="I771">
        <v>2666.8257490000001</v>
      </c>
      <c r="J771" t="b">
        <v>1</v>
      </c>
      <c r="K771">
        <v>18</v>
      </c>
      <c r="L771" t="b">
        <v>0</v>
      </c>
      <c r="M771">
        <v>26078.664120000001</v>
      </c>
      <c r="N771">
        <v>3804.5</v>
      </c>
      <c r="O771">
        <v>7893</v>
      </c>
      <c r="P771" t="s">
        <v>36</v>
      </c>
      <c r="Q771">
        <v>6.0454724668156129E-2</v>
      </c>
      <c r="R771" t="s">
        <v>37</v>
      </c>
      <c r="S771">
        <v>11.594894560869566</v>
      </c>
      <c r="T771">
        <v>0.48200937539592043</v>
      </c>
      <c r="U771" t="s">
        <v>29</v>
      </c>
      <c r="V771">
        <v>0</v>
      </c>
    </row>
    <row r="772" spans="1:22" x14ac:dyDescent="0.3">
      <c r="A772" s="1">
        <v>45356</v>
      </c>
      <c r="B772" t="s">
        <v>42</v>
      </c>
      <c r="C772" t="s">
        <v>44</v>
      </c>
      <c r="D772" t="s">
        <v>24</v>
      </c>
      <c r="E772" t="s">
        <v>25</v>
      </c>
      <c r="F772" t="s">
        <v>26</v>
      </c>
      <c r="G772">
        <v>656</v>
      </c>
      <c r="H772">
        <v>4111</v>
      </c>
      <c r="I772">
        <v>7119.3784020000003</v>
      </c>
      <c r="J772" t="b">
        <v>0</v>
      </c>
      <c r="K772">
        <v>21</v>
      </c>
      <c r="L772" t="b">
        <v>0</v>
      </c>
      <c r="M772">
        <v>61717.450190000003</v>
      </c>
      <c r="N772">
        <v>3836.5</v>
      </c>
      <c r="O772">
        <v>5998</v>
      </c>
      <c r="P772" t="s">
        <v>27</v>
      </c>
      <c r="Q772">
        <v>0.17098918284895087</v>
      </c>
      <c r="R772" t="s">
        <v>37</v>
      </c>
      <c r="S772">
        <v>10.852710978658537</v>
      </c>
      <c r="T772">
        <v>0.63962987662554183</v>
      </c>
      <c r="U772" t="s">
        <v>29</v>
      </c>
      <c r="V772">
        <v>0</v>
      </c>
    </row>
    <row r="773" spans="1:22" x14ac:dyDescent="0.3">
      <c r="A773" s="1">
        <v>45355</v>
      </c>
      <c r="B773" t="s">
        <v>22</v>
      </c>
      <c r="C773" t="s">
        <v>31</v>
      </c>
      <c r="D773" t="s">
        <v>35</v>
      </c>
      <c r="E773" t="s">
        <v>25</v>
      </c>
      <c r="F773" t="s">
        <v>39</v>
      </c>
      <c r="G773">
        <v>388</v>
      </c>
      <c r="H773">
        <v>3562</v>
      </c>
      <c r="I773">
        <v>13530.68167</v>
      </c>
      <c r="J773" t="b">
        <v>0</v>
      </c>
      <c r="K773">
        <v>26</v>
      </c>
      <c r="L773" t="b">
        <v>0</v>
      </c>
      <c r="M773">
        <v>65591.678459999996</v>
      </c>
      <c r="N773">
        <v>2098</v>
      </c>
      <c r="O773">
        <v>7743</v>
      </c>
      <c r="P773" t="s">
        <v>27</v>
      </c>
      <c r="Q773">
        <v>0.18493803622497618</v>
      </c>
      <c r="R773" t="s">
        <v>37</v>
      </c>
      <c r="S773">
        <v>34.872890902061854</v>
      </c>
      <c r="T773">
        <v>0.27095441043523183</v>
      </c>
      <c r="U773" t="s">
        <v>34</v>
      </c>
      <c r="V773">
        <v>0</v>
      </c>
    </row>
    <row r="774" spans="1:22" x14ac:dyDescent="0.3">
      <c r="A774" s="1">
        <v>45354</v>
      </c>
      <c r="B774" t="s">
        <v>42</v>
      </c>
      <c r="C774" t="s">
        <v>41</v>
      </c>
      <c r="D774" t="s">
        <v>24</v>
      </c>
      <c r="E774" t="s">
        <v>33</v>
      </c>
      <c r="F774" t="s">
        <v>26</v>
      </c>
      <c r="G774">
        <v>464</v>
      </c>
      <c r="H774">
        <v>634</v>
      </c>
      <c r="I774">
        <v>9737.7453879999994</v>
      </c>
      <c r="J774" t="b">
        <v>1</v>
      </c>
      <c r="K774">
        <v>2</v>
      </c>
      <c r="L774" t="b">
        <v>0</v>
      </c>
      <c r="M774">
        <v>76970.422420000003</v>
      </c>
      <c r="N774">
        <v>2252</v>
      </c>
      <c r="O774">
        <v>5810</v>
      </c>
      <c r="P774" t="s">
        <v>36</v>
      </c>
      <c r="Q774">
        <v>0.20603907637655416</v>
      </c>
      <c r="R774" t="s">
        <v>40</v>
      </c>
      <c r="S774">
        <v>20.986520232758618</v>
      </c>
      <c r="T774">
        <v>0.38760757314974181</v>
      </c>
      <c r="U774" t="s">
        <v>34</v>
      </c>
      <c r="V774">
        <v>0</v>
      </c>
    </row>
    <row r="775" spans="1:22" x14ac:dyDescent="0.3">
      <c r="A775" s="1">
        <v>45353</v>
      </c>
      <c r="B775" t="s">
        <v>22</v>
      </c>
      <c r="C775" t="s">
        <v>41</v>
      </c>
      <c r="D775" t="s">
        <v>46</v>
      </c>
      <c r="E775" t="s">
        <v>45</v>
      </c>
      <c r="F775" t="s">
        <v>26</v>
      </c>
      <c r="G775">
        <v>238</v>
      </c>
      <c r="H775">
        <v>3870</v>
      </c>
      <c r="I775">
        <v>14055.94918</v>
      </c>
      <c r="J775" t="b">
        <v>0</v>
      </c>
      <c r="K775">
        <v>4</v>
      </c>
      <c r="L775" t="b">
        <v>0</v>
      </c>
      <c r="M775">
        <v>24267.79952</v>
      </c>
      <c r="N775">
        <v>3965</v>
      </c>
      <c r="O775">
        <v>9384</v>
      </c>
      <c r="P775" t="s">
        <v>36</v>
      </c>
      <c r="Q775">
        <v>6.0025220680958384E-2</v>
      </c>
      <c r="R775" t="s">
        <v>40</v>
      </c>
      <c r="S775">
        <v>59.058610000000002</v>
      </c>
      <c r="T775">
        <v>0.42252770673486784</v>
      </c>
      <c r="U775" t="s">
        <v>29</v>
      </c>
      <c r="V775">
        <v>0</v>
      </c>
    </row>
    <row r="776" spans="1:22" x14ac:dyDescent="0.3">
      <c r="A776" s="1">
        <v>45352</v>
      </c>
      <c r="B776" t="s">
        <v>22</v>
      </c>
      <c r="C776" t="s">
        <v>31</v>
      </c>
      <c r="D776" t="s">
        <v>46</v>
      </c>
      <c r="E776" t="s">
        <v>45</v>
      </c>
      <c r="F776" t="s">
        <v>26</v>
      </c>
      <c r="G776">
        <v>902</v>
      </c>
      <c r="H776">
        <v>4060</v>
      </c>
      <c r="I776">
        <v>7559.0090730000002</v>
      </c>
      <c r="J776" t="b">
        <v>1</v>
      </c>
      <c r="K776">
        <v>26</v>
      </c>
      <c r="L776" t="b">
        <v>0</v>
      </c>
      <c r="M776">
        <v>39328.83958</v>
      </c>
      <c r="N776">
        <v>2372.5</v>
      </c>
      <c r="O776">
        <v>6378</v>
      </c>
      <c r="P776" t="s">
        <v>27</v>
      </c>
      <c r="Q776">
        <v>0.38018967334035825</v>
      </c>
      <c r="R776" t="s">
        <v>37</v>
      </c>
      <c r="S776">
        <v>8.3802761341463423</v>
      </c>
      <c r="T776">
        <v>0.37198181248040135</v>
      </c>
      <c r="U776" t="s">
        <v>34</v>
      </c>
      <c r="V776">
        <v>0</v>
      </c>
    </row>
    <row r="777" spans="1:22" x14ac:dyDescent="0.3">
      <c r="A777" s="1">
        <v>45351</v>
      </c>
      <c r="B777" t="s">
        <v>42</v>
      </c>
      <c r="C777" t="s">
        <v>44</v>
      </c>
      <c r="D777" t="s">
        <v>46</v>
      </c>
      <c r="E777" t="s">
        <v>25</v>
      </c>
      <c r="F777" t="s">
        <v>26</v>
      </c>
      <c r="G777">
        <v>490</v>
      </c>
      <c r="H777">
        <v>685</v>
      </c>
      <c r="I777">
        <v>7216.391826</v>
      </c>
      <c r="J777" t="b">
        <v>1</v>
      </c>
      <c r="K777">
        <v>25</v>
      </c>
      <c r="L777" t="b">
        <v>0</v>
      </c>
      <c r="M777">
        <v>48095.257409999998</v>
      </c>
      <c r="N777">
        <v>2234</v>
      </c>
      <c r="O777">
        <v>5231</v>
      </c>
      <c r="P777" t="s">
        <v>36</v>
      </c>
      <c r="Q777">
        <v>0.21933751119068934</v>
      </c>
      <c r="R777" t="s">
        <v>37</v>
      </c>
      <c r="S777">
        <v>14.727330257142857</v>
      </c>
      <c r="T777">
        <v>0.42706939399732363</v>
      </c>
      <c r="U777" t="s">
        <v>29</v>
      </c>
      <c r="V777">
        <v>0</v>
      </c>
    </row>
    <row r="778" spans="1:22" x14ac:dyDescent="0.3">
      <c r="A778" s="1">
        <v>45350</v>
      </c>
      <c r="B778" t="s">
        <v>30</v>
      </c>
      <c r="C778" t="s">
        <v>23</v>
      </c>
      <c r="D778" t="s">
        <v>32</v>
      </c>
      <c r="E778" t="s">
        <v>45</v>
      </c>
      <c r="F778" t="s">
        <v>43</v>
      </c>
      <c r="G778">
        <v>212</v>
      </c>
      <c r="H778">
        <v>3783</v>
      </c>
      <c r="I778">
        <v>12560.007149999999</v>
      </c>
      <c r="J778" t="b">
        <v>1</v>
      </c>
      <c r="K778">
        <v>19</v>
      </c>
      <c r="L778" t="b">
        <v>0</v>
      </c>
      <c r="M778">
        <v>18215.763470000002</v>
      </c>
      <c r="N778">
        <v>4021.5</v>
      </c>
      <c r="O778">
        <v>9185</v>
      </c>
      <c r="P778" t="s">
        <v>36</v>
      </c>
      <c r="Q778">
        <v>5.2716648016909111E-2</v>
      </c>
      <c r="R778" t="s">
        <v>37</v>
      </c>
      <c r="S778">
        <v>59.245316745283013</v>
      </c>
      <c r="T778">
        <v>0.43783342406096898</v>
      </c>
      <c r="U778" t="s">
        <v>29</v>
      </c>
      <c r="V778">
        <v>0</v>
      </c>
    </row>
    <row r="779" spans="1:22" x14ac:dyDescent="0.3">
      <c r="A779" s="1">
        <v>45349</v>
      </c>
      <c r="B779" t="s">
        <v>38</v>
      </c>
      <c r="C779" t="s">
        <v>44</v>
      </c>
      <c r="D779" t="s">
        <v>24</v>
      </c>
      <c r="E779" t="s">
        <v>45</v>
      </c>
      <c r="F779" t="s">
        <v>26</v>
      </c>
      <c r="G779">
        <v>433</v>
      </c>
      <c r="H779">
        <v>4260</v>
      </c>
      <c r="I779">
        <v>4129.9338770000004</v>
      </c>
      <c r="J779" t="b">
        <v>1</v>
      </c>
      <c r="K779">
        <v>10</v>
      </c>
      <c r="L779" t="b">
        <v>1</v>
      </c>
      <c r="M779">
        <v>28741.788369999998</v>
      </c>
      <c r="N779">
        <v>3627.5</v>
      </c>
      <c r="O779">
        <v>8010</v>
      </c>
      <c r="P779" t="s">
        <v>27</v>
      </c>
      <c r="Q779">
        <v>0.11936595451412818</v>
      </c>
      <c r="R779" t="s">
        <v>28</v>
      </c>
      <c r="S779">
        <v>9.5379535265588924</v>
      </c>
      <c r="T779">
        <v>0.45287141073657927</v>
      </c>
      <c r="U779" t="s">
        <v>29</v>
      </c>
      <c r="V779">
        <v>1</v>
      </c>
    </row>
    <row r="780" spans="1:22" x14ac:dyDescent="0.3">
      <c r="A780" s="1">
        <v>45348</v>
      </c>
      <c r="B780" t="s">
        <v>38</v>
      </c>
      <c r="C780" t="s">
        <v>44</v>
      </c>
      <c r="D780" t="s">
        <v>35</v>
      </c>
      <c r="E780" t="s">
        <v>33</v>
      </c>
      <c r="F780" t="s">
        <v>26</v>
      </c>
      <c r="G780">
        <v>208</v>
      </c>
      <c r="H780">
        <v>2995</v>
      </c>
      <c r="I780">
        <v>3657.0110330000002</v>
      </c>
      <c r="J780" t="b">
        <v>1</v>
      </c>
      <c r="K780">
        <v>7</v>
      </c>
      <c r="L780" t="b">
        <v>0</v>
      </c>
      <c r="M780">
        <v>24331.645619999999</v>
      </c>
      <c r="N780">
        <v>2086</v>
      </c>
      <c r="O780">
        <v>6076</v>
      </c>
      <c r="P780" t="s">
        <v>27</v>
      </c>
      <c r="Q780">
        <v>9.9712368168744014E-2</v>
      </c>
      <c r="R780" t="s">
        <v>40</v>
      </c>
      <c r="S780">
        <v>17.581783812499999</v>
      </c>
      <c r="T780">
        <v>0.34331797235023043</v>
      </c>
      <c r="U780" t="s">
        <v>34</v>
      </c>
      <c r="V780">
        <v>0</v>
      </c>
    </row>
    <row r="781" spans="1:22" x14ac:dyDescent="0.3">
      <c r="A781" s="1">
        <v>45347</v>
      </c>
      <c r="B781" t="s">
        <v>38</v>
      </c>
      <c r="C781" t="s">
        <v>41</v>
      </c>
      <c r="D781" t="s">
        <v>32</v>
      </c>
      <c r="E781" t="s">
        <v>45</v>
      </c>
      <c r="F781" t="s">
        <v>26</v>
      </c>
      <c r="G781">
        <v>527</v>
      </c>
      <c r="H781">
        <v>1177</v>
      </c>
      <c r="I781">
        <v>1684.356591</v>
      </c>
      <c r="J781" t="b">
        <v>1</v>
      </c>
      <c r="K781">
        <v>28</v>
      </c>
      <c r="L781" t="b">
        <v>0</v>
      </c>
      <c r="M781">
        <v>57014.92611</v>
      </c>
      <c r="N781">
        <v>668.5</v>
      </c>
      <c r="O781">
        <v>5350</v>
      </c>
      <c r="P781" t="s">
        <v>27</v>
      </c>
      <c r="Q781">
        <v>0.78833208676140609</v>
      </c>
      <c r="R781" t="s">
        <v>37</v>
      </c>
      <c r="S781">
        <v>3.1961225635673625</v>
      </c>
      <c r="T781">
        <v>0.12495327102803738</v>
      </c>
      <c r="U781" t="s">
        <v>34</v>
      </c>
      <c r="V781">
        <v>0</v>
      </c>
    </row>
    <row r="782" spans="1:22" x14ac:dyDescent="0.3">
      <c r="A782" s="1">
        <v>45346</v>
      </c>
      <c r="B782" t="s">
        <v>38</v>
      </c>
      <c r="C782" t="s">
        <v>41</v>
      </c>
      <c r="D782" t="s">
        <v>46</v>
      </c>
      <c r="E782" t="s">
        <v>25</v>
      </c>
      <c r="F782" t="s">
        <v>26</v>
      </c>
      <c r="G782">
        <v>539</v>
      </c>
      <c r="H782">
        <v>160</v>
      </c>
      <c r="I782">
        <v>9471.8312459999997</v>
      </c>
      <c r="J782" t="b">
        <v>1</v>
      </c>
      <c r="K782">
        <v>4</v>
      </c>
      <c r="L782" t="b">
        <v>0</v>
      </c>
      <c r="M782">
        <v>58765.87571</v>
      </c>
      <c r="N782">
        <v>375.5</v>
      </c>
      <c r="O782">
        <v>5740</v>
      </c>
      <c r="P782" t="s">
        <v>36</v>
      </c>
      <c r="Q782">
        <v>1.4354194407456724</v>
      </c>
      <c r="R782" t="s">
        <v>40</v>
      </c>
      <c r="S782">
        <v>17.572970771799628</v>
      </c>
      <c r="T782">
        <v>6.5418118466898961E-2</v>
      </c>
      <c r="U782" t="s">
        <v>34</v>
      </c>
      <c r="V782">
        <v>0</v>
      </c>
    </row>
    <row r="783" spans="1:22" x14ac:dyDescent="0.3">
      <c r="A783" s="1">
        <v>45345</v>
      </c>
      <c r="B783" t="s">
        <v>42</v>
      </c>
      <c r="C783" t="s">
        <v>44</v>
      </c>
      <c r="D783" t="s">
        <v>35</v>
      </c>
      <c r="E783" t="s">
        <v>45</v>
      </c>
      <c r="F783" t="s">
        <v>26</v>
      </c>
      <c r="G783">
        <v>196</v>
      </c>
      <c r="H783">
        <v>591</v>
      </c>
      <c r="I783">
        <v>10929.858829999999</v>
      </c>
      <c r="J783" t="b">
        <v>1</v>
      </c>
      <c r="K783">
        <v>11</v>
      </c>
      <c r="L783" t="b">
        <v>0</v>
      </c>
      <c r="M783">
        <v>20765.778419999999</v>
      </c>
      <c r="N783">
        <v>1121</v>
      </c>
      <c r="O783">
        <v>8283</v>
      </c>
      <c r="P783" t="s">
        <v>36</v>
      </c>
      <c r="Q783">
        <v>0.17484388938447815</v>
      </c>
      <c r="R783" t="s">
        <v>28</v>
      </c>
      <c r="S783">
        <v>55.764585867346938</v>
      </c>
      <c r="T783">
        <v>0.13533743812628274</v>
      </c>
      <c r="U783" t="s">
        <v>34</v>
      </c>
      <c r="V783">
        <v>0</v>
      </c>
    </row>
    <row r="784" spans="1:22" x14ac:dyDescent="0.3">
      <c r="A784" s="1">
        <v>45344</v>
      </c>
      <c r="B784" t="s">
        <v>38</v>
      </c>
      <c r="C784" t="s">
        <v>41</v>
      </c>
      <c r="D784" t="s">
        <v>35</v>
      </c>
      <c r="E784" t="s">
        <v>45</v>
      </c>
      <c r="F784" t="s">
        <v>39</v>
      </c>
      <c r="G784">
        <v>629</v>
      </c>
      <c r="H784">
        <v>1651</v>
      </c>
      <c r="I784">
        <v>9114.9776760000004</v>
      </c>
      <c r="J784" t="b">
        <v>1</v>
      </c>
      <c r="K784">
        <v>8</v>
      </c>
      <c r="L784" t="b">
        <v>0</v>
      </c>
      <c r="M784">
        <v>32668.811669999999</v>
      </c>
      <c r="N784">
        <v>1323.5</v>
      </c>
      <c r="O784">
        <v>7895</v>
      </c>
      <c r="P784" t="s">
        <v>27</v>
      </c>
      <c r="Q784">
        <v>0.47525500566679257</v>
      </c>
      <c r="R784" t="s">
        <v>28</v>
      </c>
      <c r="S784">
        <v>14.491220470588235</v>
      </c>
      <c r="T784">
        <v>0.16763774540848639</v>
      </c>
      <c r="U784" t="s">
        <v>34</v>
      </c>
      <c r="V784">
        <v>0</v>
      </c>
    </row>
    <row r="785" spans="1:22" x14ac:dyDescent="0.3">
      <c r="A785" s="1">
        <v>45343</v>
      </c>
      <c r="B785" t="s">
        <v>22</v>
      </c>
      <c r="C785" t="s">
        <v>31</v>
      </c>
      <c r="D785" t="s">
        <v>32</v>
      </c>
      <c r="E785" t="s">
        <v>33</v>
      </c>
      <c r="F785" t="s">
        <v>26</v>
      </c>
      <c r="G785">
        <v>184</v>
      </c>
      <c r="H785">
        <v>996</v>
      </c>
      <c r="I785">
        <v>510.84177140000003</v>
      </c>
      <c r="J785" t="b">
        <v>0</v>
      </c>
      <c r="K785">
        <v>25</v>
      </c>
      <c r="L785" t="b">
        <v>0</v>
      </c>
      <c r="M785">
        <v>19586.01252</v>
      </c>
      <c r="N785">
        <v>637</v>
      </c>
      <c r="O785">
        <v>5519</v>
      </c>
      <c r="P785" t="s">
        <v>27</v>
      </c>
      <c r="Q785">
        <v>0.28885400313971743</v>
      </c>
      <c r="R785" t="s">
        <v>37</v>
      </c>
      <c r="S785">
        <v>2.7763139750000003</v>
      </c>
      <c r="T785">
        <v>0.11541946004710998</v>
      </c>
      <c r="U785" t="s">
        <v>34</v>
      </c>
      <c r="V785">
        <v>0</v>
      </c>
    </row>
    <row r="786" spans="1:22" x14ac:dyDescent="0.3">
      <c r="A786" s="1">
        <v>45342</v>
      </c>
      <c r="B786" t="s">
        <v>22</v>
      </c>
      <c r="C786" t="s">
        <v>31</v>
      </c>
      <c r="D786" t="s">
        <v>32</v>
      </c>
      <c r="E786" t="s">
        <v>45</v>
      </c>
      <c r="F786" t="s">
        <v>26</v>
      </c>
      <c r="G786">
        <v>656</v>
      </c>
      <c r="H786">
        <v>278</v>
      </c>
      <c r="I786">
        <v>13614.565769999999</v>
      </c>
      <c r="J786" t="b">
        <v>1</v>
      </c>
      <c r="K786">
        <v>14</v>
      </c>
      <c r="L786" t="b">
        <v>0</v>
      </c>
      <c r="M786">
        <v>112907.2398</v>
      </c>
      <c r="N786">
        <v>1167</v>
      </c>
      <c r="O786">
        <v>6683</v>
      </c>
      <c r="P786" t="s">
        <v>36</v>
      </c>
      <c r="Q786">
        <v>0.56212510711225361</v>
      </c>
      <c r="R786" t="s">
        <v>28</v>
      </c>
      <c r="S786">
        <v>20.753911234756096</v>
      </c>
      <c r="T786">
        <v>0.17462217566960947</v>
      </c>
      <c r="U786" t="s">
        <v>34</v>
      </c>
      <c r="V786">
        <v>0</v>
      </c>
    </row>
    <row r="787" spans="1:22" x14ac:dyDescent="0.3">
      <c r="A787" s="1">
        <v>45341</v>
      </c>
      <c r="B787" t="s">
        <v>30</v>
      </c>
      <c r="C787" t="s">
        <v>44</v>
      </c>
      <c r="D787" t="s">
        <v>32</v>
      </c>
      <c r="E787" t="s">
        <v>33</v>
      </c>
      <c r="F787" t="s">
        <v>26</v>
      </c>
      <c r="G787">
        <v>667</v>
      </c>
      <c r="H787">
        <v>2056</v>
      </c>
      <c r="I787">
        <v>13099.907020000001</v>
      </c>
      <c r="J787" t="b">
        <v>1</v>
      </c>
      <c r="K787">
        <v>12</v>
      </c>
      <c r="L787" t="b">
        <v>0</v>
      </c>
      <c r="M787">
        <v>115960.82060000001</v>
      </c>
      <c r="N787">
        <v>2456.5</v>
      </c>
      <c r="O787">
        <v>6578</v>
      </c>
      <c r="P787" t="s">
        <v>36</v>
      </c>
      <c r="Q787">
        <v>0.27152452676572358</v>
      </c>
      <c r="R787" t="s">
        <v>28</v>
      </c>
      <c r="S787">
        <v>19.640040509745127</v>
      </c>
      <c r="T787">
        <v>0.37344177561568864</v>
      </c>
      <c r="U787" t="s">
        <v>34</v>
      </c>
      <c r="V787">
        <v>0</v>
      </c>
    </row>
    <row r="788" spans="1:22" x14ac:dyDescent="0.3">
      <c r="A788" s="1">
        <v>45340</v>
      </c>
      <c r="B788" t="s">
        <v>22</v>
      </c>
      <c r="C788" t="s">
        <v>41</v>
      </c>
      <c r="D788" t="s">
        <v>32</v>
      </c>
      <c r="E788" t="s">
        <v>25</v>
      </c>
      <c r="F788" t="s">
        <v>26</v>
      </c>
      <c r="G788">
        <v>698</v>
      </c>
      <c r="H788">
        <v>2857</v>
      </c>
      <c r="I788">
        <v>4719.4911490000004</v>
      </c>
      <c r="J788" t="b">
        <v>1</v>
      </c>
      <c r="K788">
        <v>26</v>
      </c>
      <c r="L788" t="b">
        <v>0</v>
      </c>
      <c r="M788">
        <v>125552.1857</v>
      </c>
      <c r="N788">
        <v>3252.5</v>
      </c>
      <c r="O788">
        <v>7207</v>
      </c>
      <c r="P788" t="s">
        <v>36</v>
      </c>
      <c r="Q788">
        <v>0.21460415065334359</v>
      </c>
      <c r="R788" t="s">
        <v>37</v>
      </c>
      <c r="S788">
        <v>6.7614486375358176</v>
      </c>
      <c r="T788">
        <v>0.4512973497988067</v>
      </c>
      <c r="U788" t="s">
        <v>29</v>
      </c>
      <c r="V788">
        <v>0</v>
      </c>
    </row>
    <row r="789" spans="1:22" x14ac:dyDescent="0.3">
      <c r="A789" s="1">
        <v>45339</v>
      </c>
      <c r="B789" t="s">
        <v>38</v>
      </c>
      <c r="C789" t="s">
        <v>23</v>
      </c>
      <c r="D789" t="s">
        <v>24</v>
      </c>
      <c r="E789" t="s">
        <v>45</v>
      </c>
      <c r="F789" t="s">
        <v>26</v>
      </c>
      <c r="G789">
        <v>859</v>
      </c>
      <c r="H789">
        <v>3648</v>
      </c>
      <c r="I789">
        <v>2394.7531410000001</v>
      </c>
      <c r="J789" t="b">
        <v>1</v>
      </c>
      <c r="K789">
        <v>26</v>
      </c>
      <c r="L789" t="b">
        <v>0</v>
      </c>
      <c r="M789">
        <v>155426.87349999999</v>
      </c>
      <c r="N789">
        <v>2832</v>
      </c>
      <c r="O789">
        <v>6780</v>
      </c>
      <c r="P789" t="s">
        <v>27</v>
      </c>
      <c r="Q789">
        <v>0.30331920903954801</v>
      </c>
      <c r="R789" t="s">
        <v>37</v>
      </c>
      <c r="S789">
        <v>2.7878383480791622</v>
      </c>
      <c r="T789">
        <v>0.41769911504424778</v>
      </c>
      <c r="U789" t="s">
        <v>29</v>
      </c>
      <c r="V789">
        <v>0</v>
      </c>
    </row>
    <row r="790" spans="1:22" x14ac:dyDescent="0.3">
      <c r="A790" s="1">
        <v>45338</v>
      </c>
      <c r="B790" t="s">
        <v>42</v>
      </c>
      <c r="C790" t="s">
        <v>44</v>
      </c>
      <c r="D790" t="s">
        <v>24</v>
      </c>
      <c r="E790" t="s">
        <v>33</v>
      </c>
      <c r="F790" t="s">
        <v>26</v>
      </c>
      <c r="G790">
        <v>638</v>
      </c>
      <c r="H790">
        <v>2016</v>
      </c>
      <c r="I790">
        <v>6901.8068880000001</v>
      </c>
      <c r="J790" t="b">
        <v>1</v>
      </c>
      <c r="K790">
        <v>11</v>
      </c>
      <c r="L790" t="b">
        <v>0</v>
      </c>
      <c r="M790">
        <v>20931.469590000001</v>
      </c>
      <c r="N790">
        <v>2650.5</v>
      </c>
      <c r="O790">
        <v>5066</v>
      </c>
      <c r="P790" t="s">
        <v>36</v>
      </c>
      <c r="Q790">
        <v>0.24070930013205055</v>
      </c>
      <c r="R790" t="s">
        <v>28</v>
      </c>
      <c r="S790">
        <v>10.817879134796238</v>
      </c>
      <c r="T790">
        <v>0.5231938412949072</v>
      </c>
      <c r="U790" t="s">
        <v>29</v>
      </c>
      <c r="V790">
        <v>0</v>
      </c>
    </row>
    <row r="791" spans="1:22" x14ac:dyDescent="0.3">
      <c r="A791" s="1">
        <v>45337</v>
      </c>
      <c r="B791" t="s">
        <v>30</v>
      </c>
      <c r="C791" t="s">
        <v>41</v>
      </c>
      <c r="D791" t="s">
        <v>24</v>
      </c>
      <c r="E791" t="s">
        <v>25</v>
      </c>
      <c r="F791" t="s">
        <v>43</v>
      </c>
      <c r="G791">
        <v>851</v>
      </c>
      <c r="H791">
        <v>3285</v>
      </c>
      <c r="I791">
        <v>7857.1515939999999</v>
      </c>
      <c r="J791" t="b">
        <v>1</v>
      </c>
      <c r="K791">
        <v>20</v>
      </c>
      <c r="L791" t="b">
        <v>0</v>
      </c>
      <c r="M791">
        <v>73719.258130000002</v>
      </c>
      <c r="N791">
        <v>2445</v>
      </c>
      <c r="O791">
        <v>6683</v>
      </c>
      <c r="P791" t="s">
        <v>27</v>
      </c>
      <c r="Q791">
        <v>0.34805725971370144</v>
      </c>
      <c r="R791" t="s">
        <v>37</v>
      </c>
      <c r="S791">
        <v>9.2328455863689776</v>
      </c>
      <c r="T791">
        <v>0.36585365853658536</v>
      </c>
      <c r="U791" t="s">
        <v>34</v>
      </c>
      <c r="V791">
        <v>0</v>
      </c>
    </row>
    <row r="792" spans="1:22" x14ac:dyDescent="0.3">
      <c r="A792" s="1">
        <v>45336</v>
      </c>
      <c r="B792" t="s">
        <v>38</v>
      </c>
      <c r="C792" t="s">
        <v>31</v>
      </c>
      <c r="D792" t="s">
        <v>32</v>
      </c>
      <c r="E792" t="s">
        <v>33</v>
      </c>
      <c r="F792" t="s">
        <v>26</v>
      </c>
      <c r="G792">
        <v>349</v>
      </c>
      <c r="H792">
        <v>1605</v>
      </c>
      <c r="I792">
        <v>10680.19722</v>
      </c>
      <c r="J792" t="b">
        <v>1</v>
      </c>
      <c r="K792">
        <v>1</v>
      </c>
      <c r="L792" t="b">
        <v>0</v>
      </c>
      <c r="M792">
        <v>61494.068030000002</v>
      </c>
      <c r="N792">
        <v>1807.5</v>
      </c>
      <c r="O792">
        <v>8618</v>
      </c>
      <c r="P792" t="s">
        <v>36</v>
      </c>
      <c r="Q792">
        <v>0.19308437067773168</v>
      </c>
      <c r="R792" t="s">
        <v>40</v>
      </c>
      <c r="S792">
        <v>30.60228429799427</v>
      </c>
      <c r="T792">
        <v>0.20973543745648643</v>
      </c>
      <c r="U792" t="s">
        <v>34</v>
      </c>
      <c r="V792">
        <v>0</v>
      </c>
    </row>
    <row r="793" spans="1:22" x14ac:dyDescent="0.3">
      <c r="A793" s="1">
        <v>45335</v>
      </c>
      <c r="B793" t="s">
        <v>42</v>
      </c>
      <c r="C793" t="s">
        <v>44</v>
      </c>
      <c r="D793" t="s">
        <v>24</v>
      </c>
      <c r="E793" t="s">
        <v>45</v>
      </c>
      <c r="F793" t="s">
        <v>26</v>
      </c>
      <c r="G793">
        <v>885</v>
      </c>
      <c r="H793">
        <v>2010</v>
      </c>
      <c r="I793">
        <v>13720.0538</v>
      </c>
      <c r="J793" t="b">
        <v>1</v>
      </c>
      <c r="K793">
        <v>28</v>
      </c>
      <c r="L793" t="b">
        <v>0</v>
      </c>
      <c r="M793">
        <v>163464.66510000001</v>
      </c>
      <c r="N793">
        <v>3072</v>
      </c>
      <c r="O793">
        <v>8616</v>
      </c>
      <c r="P793" t="s">
        <v>36</v>
      </c>
      <c r="Q793">
        <v>0.2880859375</v>
      </c>
      <c r="R793" t="s">
        <v>37</v>
      </c>
      <c r="S793">
        <v>15.502885649717514</v>
      </c>
      <c r="T793">
        <v>0.35654596100278552</v>
      </c>
      <c r="U793" t="s">
        <v>34</v>
      </c>
      <c r="V793">
        <v>0</v>
      </c>
    </row>
    <row r="794" spans="1:22" x14ac:dyDescent="0.3">
      <c r="A794" s="1">
        <v>45334</v>
      </c>
      <c r="B794" t="s">
        <v>42</v>
      </c>
      <c r="C794" t="s">
        <v>41</v>
      </c>
      <c r="D794" t="s">
        <v>35</v>
      </c>
      <c r="E794" t="s">
        <v>25</v>
      </c>
      <c r="F794" t="s">
        <v>43</v>
      </c>
      <c r="G794">
        <v>327</v>
      </c>
      <c r="H794">
        <v>4134</v>
      </c>
      <c r="I794">
        <v>1308.055793</v>
      </c>
      <c r="J794" t="b">
        <v>1</v>
      </c>
      <c r="K794">
        <v>29</v>
      </c>
      <c r="L794" t="b">
        <v>0</v>
      </c>
      <c r="M794">
        <v>23490.420859999998</v>
      </c>
      <c r="N794">
        <v>2767.5</v>
      </c>
      <c r="O794">
        <v>8698</v>
      </c>
      <c r="P794" t="s">
        <v>27</v>
      </c>
      <c r="Q794">
        <v>0.11815718157181572</v>
      </c>
      <c r="R794" t="s">
        <v>37</v>
      </c>
      <c r="S794">
        <v>4.0001706207951067</v>
      </c>
      <c r="T794">
        <v>0.31817659232007356</v>
      </c>
      <c r="U794" t="s">
        <v>34</v>
      </c>
      <c r="V794">
        <v>0</v>
      </c>
    </row>
    <row r="795" spans="1:22" x14ac:dyDescent="0.3">
      <c r="A795" s="1">
        <v>45333</v>
      </c>
      <c r="B795" t="s">
        <v>38</v>
      </c>
      <c r="C795" t="s">
        <v>44</v>
      </c>
      <c r="D795" t="s">
        <v>24</v>
      </c>
      <c r="E795" t="s">
        <v>33</v>
      </c>
      <c r="F795" t="s">
        <v>26</v>
      </c>
      <c r="G795">
        <v>726</v>
      </c>
      <c r="H795">
        <v>1401</v>
      </c>
      <c r="I795">
        <v>10666.591189999999</v>
      </c>
      <c r="J795" t="b">
        <v>1</v>
      </c>
      <c r="K795">
        <v>10</v>
      </c>
      <c r="L795" t="b">
        <v>0</v>
      </c>
      <c r="M795">
        <v>54695.283349999998</v>
      </c>
      <c r="N795">
        <v>1317</v>
      </c>
      <c r="O795">
        <v>6044</v>
      </c>
      <c r="P795" t="s">
        <v>27</v>
      </c>
      <c r="Q795">
        <v>0.55125284738041003</v>
      </c>
      <c r="R795" t="s">
        <v>28</v>
      </c>
      <c r="S795">
        <v>14.692274366391183</v>
      </c>
      <c r="T795">
        <v>0.21790205162144274</v>
      </c>
      <c r="U795" t="s">
        <v>34</v>
      </c>
      <c r="V795">
        <v>0</v>
      </c>
    </row>
    <row r="796" spans="1:22" x14ac:dyDescent="0.3">
      <c r="A796" s="1">
        <v>45332</v>
      </c>
      <c r="B796" t="s">
        <v>42</v>
      </c>
      <c r="C796" t="s">
        <v>31</v>
      </c>
      <c r="D796" t="s">
        <v>35</v>
      </c>
      <c r="E796" t="s">
        <v>33</v>
      </c>
      <c r="F796" t="s">
        <v>26</v>
      </c>
      <c r="G796">
        <v>636</v>
      </c>
      <c r="H796">
        <v>1233</v>
      </c>
      <c r="I796">
        <v>1267.157782</v>
      </c>
      <c r="J796" t="b">
        <v>1</v>
      </c>
      <c r="K796">
        <v>20</v>
      </c>
      <c r="L796" t="b">
        <v>0</v>
      </c>
      <c r="M796">
        <v>20184.069289999999</v>
      </c>
      <c r="N796">
        <v>1281.5</v>
      </c>
      <c r="O796">
        <v>5782</v>
      </c>
      <c r="P796" t="s">
        <v>36</v>
      </c>
      <c r="Q796">
        <v>0.49629340616465079</v>
      </c>
      <c r="R796" t="s">
        <v>37</v>
      </c>
      <c r="S796">
        <v>1.9923864496855346</v>
      </c>
      <c r="T796">
        <v>0.22163611207194742</v>
      </c>
      <c r="U796" t="s">
        <v>34</v>
      </c>
      <c r="V796">
        <v>0</v>
      </c>
    </row>
    <row r="797" spans="1:22" x14ac:dyDescent="0.3">
      <c r="A797" s="1">
        <v>45331</v>
      </c>
      <c r="B797" t="s">
        <v>42</v>
      </c>
      <c r="C797" t="s">
        <v>23</v>
      </c>
      <c r="D797" t="s">
        <v>24</v>
      </c>
      <c r="E797" t="s">
        <v>25</v>
      </c>
      <c r="F797" t="s">
        <v>26</v>
      </c>
      <c r="G797">
        <v>687</v>
      </c>
      <c r="H797">
        <v>1330</v>
      </c>
      <c r="I797">
        <v>8347.9541090000002</v>
      </c>
      <c r="J797" t="b">
        <v>1</v>
      </c>
      <c r="K797">
        <v>3</v>
      </c>
      <c r="L797" t="b">
        <v>0</v>
      </c>
      <c r="M797">
        <v>97661.789399999994</v>
      </c>
      <c r="N797">
        <v>1974</v>
      </c>
      <c r="O797">
        <v>6420</v>
      </c>
      <c r="P797" t="s">
        <v>36</v>
      </c>
      <c r="Q797">
        <v>0.34802431610942247</v>
      </c>
      <c r="R797" t="s">
        <v>40</v>
      </c>
      <c r="S797">
        <v>12.15131602474527</v>
      </c>
      <c r="T797">
        <v>0.30747663551401871</v>
      </c>
      <c r="U797" t="s">
        <v>34</v>
      </c>
      <c r="V797">
        <v>0</v>
      </c>
    </row>
    <row r="798" spans="1:22" x14ac:dyDescent="0.3">
      <c r="A798" s="1">
        <v>45330</v>
      </c>
      <c r="B798" t="s">
        <v>22</v>
      </c>
      <c r="C798" t="s">
        <v>41</v>
      </c>
      <c r="D798" t="s">
        <v>32</v>
      </c>
      <c r="E798" t="s">
        <v>25</v>
      </c>
      <c r="F798" t="s">
        <v>26</v>
      </c>
      <c r="G798">
        <v>904</v>
      </c>
      <c r="H798">
        <v>2618</v>
      </c>
      <c r="I798">
        <v>922.96343820000004</v>
      </c>
      <c r="J798" t="b">
        <v>0</v>
      </c>
      <c r="K798">
        <v>29</v>
      </c>
      <c r="L798" t="b">
        <v>1</v>
      </c>
      <c r="M798">
        <v>152711.95600000001</v>
      </c>
      <c r="N798">
        <v>3605.5</v>
      </c>
      <c r="O798">
        <v>5498</v>
      </c>
      <c r="P798" t="s">
        <v>36</v>
      </c>
      <c r="Q798">
        <v>0.25072805436139234</v>
      </c>
      <c r="R798" t="s">
        <v>37</v>
      </c>
      <c r="S798">
        <v>1.0209772546460179</v>
      </c>
      <c r="T798">
        <v>0.65578392142597308</v>
      </c>
      <c r="U798" t="s">
        <v>29</v>
      </c>
      <c r="V798">
        <v>1</v>
      </c>
    </row>
    <row r="799" spans="1:22" x14ac:dyDescent="0.3">
      <c r="A799" s="1">
        <v>45329</v>
      </c>
      <c r="B799" t="s">
        <v>30</v>
      </c>
      <c r="C799" t="s">
        <v>44</v>
      </c>
      <c r="D799" t="s">
        <v>32</v>
      </c>
      <c r="E799" t="s">
        <v>45</v>
      </c>
      <c r="F799" t="s">
        <v>26</v>
      </c>
      <c r="G799">
        <v>965</v>
      </c>
      <c r="H799">
        <v>4593</v>
      </c>
      <c r="I799">
        <v>11214.491599999999</v>
      </c>
      <c r="J799" t="b">
        <v>1</v>
      </c>
      <c r="K799">
        <v>24</v>
      </c>
      <c r="L799" t="b">
        <v>0</v>
      </c>
      <c r="M799">
        <v>127900.2031</v>
      </c>
      <c r="N799">
        <v>3005</v>
      </c>
      <c r="O799">
        <v>6121</v>
      </c>
      <c r="P799" t="s">
        <v>27</v>
      </c>
      <c r="Q799">
        <v>0.3211314475873544</v>
      </c>
      <c r="R799" t="s">
        <v>37</v>
      </c>
      <c r="S799">
        <v>11.62123481865285</v>
      </c>
      <c r="T799">
        <v>0.49093285410880577</v>
      </c>
      <c r="U799" t="s">
        <v>29</v>
      </c>
      <c r="V799">
        <v>0</v>
      </c>
    </row>
    <row r="800" spans="1:22" x14ac:dyDescent="0.3">
      <c r="A800" s="1">
        <v>45328</v>
      </c>
      <c r="B800" t="s">
        <v>42</v>
      </c>
      <c r="C800" t="s">
        <v>31</v>
      </c>
      <c r="D800" t="s">
        <v>46</v>
      </c>
      <c r="E800" t="s">
        <v>33</v>
      </c>
      <c r="F800" t="s">
        <v>26</v>
      </c>
      <c r="G800">
        <v>566</v>
      </c>
      <c r="H800">
        <v>1417</v>
      </c>
      <c r="I800">
        <v>9165.6703780000007</v>
      </c>
      <c r="J800" t="b">
        <v>1</v>
      </c>
      <c r="K800">
        <v>11</v>
      </c>
      <c r="L800" t="b">
        <v>0</v>
      </c>
      <c r="M800">
        <v>60879.180800000002</v>
      </c>
      <c r="N800">
        <v>2942.5</v>
      </c>
      <c r="O800">
        <v>6513</v>
      </c>
      <c r="P800" t="s">
        <v>36</v>
      </c>
      <c r="Q800">
        <v>0.19235344095157178</v>
      </c>
      <c r="R800" t="s">
        <v>28</v>
      </c>
      <c r="S800">
        <v>16.193763918727917</v>
      </c>
      <c r="T800">
        <v>0.45178873023184402</v>
      </c>
      <c r="U800" t="s">
        <v>29</v>
      </c>
      <c r="V800">
        <v>0</v>
      </c>
    </row>
    <row r="801" spans="1:22" x14ac:dyDescent="0.3">
      <c r="A801" s="1">
        <v>45327</v>
      </c>
      <c r="B801" t="s">
        <v>42</v>
      </c>
      <c r="C801" t="s">
        <v>23</v>
      </c>
      <c r="D801" t="s">
        <v>32</v>
      </c>
      <c r="E801" t="s">
        <v>33</v>
      </c>
      <c r="F801" t="s">
        <v>26</v>
      </c>
      <c r="G801">
        <v>899</v>
      </c>
      <c r="H801">
        <v>4468</v>
      </c>
      <c r="I801">
        <v>8884.1665279999997</v>
      </c>
      <c r="J801" t="b">
        <v>1</v>
      </c>
      <c r="K801">
        <v>26</v>
      </c>
      <c r="L801" t="b">
        <v>0</v>
      </c>
      <c r="M801">
        <v>37933.345419999998</v>
      </c>
      <c r="N801">
        <v>2344.5</v>
      </c>
      <c r="O801">
        <v>7529</v>
      </c>
      <c r="P801" t="s">
        <v>27</v>
      </c>
      <c r="Q801">
        <v>0.38345062913201111</v>
      </c>
      <c r="R801" t="s">
        <v>37</v>
      </c>
      <c r="S801">
        <v>9.8822764493882094</v>
      </c>
      <c r="T801">
        <v>0.31139593571523444</v>
      </c>
      <c r="U801" t="s">
        <v>34</v>
      </c>
      <c r="V801">
        <v>0</v>
      </c>
    </row>
    <row r="802" spans="1:22" x14ac:dyDescent="0.3">
      <c r="A802" s="1">
        <v>45326</v>
      </c>
      <c r="B802" t="s">
        <v>22</v>
      </c>
      <c r="C802" t="s">
        <v>41</v>
      </c>
      <c r="D802" t="s">
        <v>24</v>
      </c>
      <c r="E802" t="s">
        <v>45</v>
      </c>
      <c r="F802" t="s">
        <v>26</v>
      </c>
      <c r="G802">
        <v>99</v>
      </c>
      <c r="H802">
        <v>221</v>
      </c>
      <c r="I802">
        <v>1504.9627089999999</v>
      </c>
      <c r="J802" t="b">
        <v>0</v>
      </c>
      <c r="K802">
        <v>6</v>
      </c>
      <c r="L802" t="b">
        <v>0</v>
      </c>
      <c r="M802">
        <v>9823.0755520000002</v>
      </c>
      <c r="N802">
        <v>2075.5</v>
      </c>
      <c r="O802">
        <v>8437</v>
      </c>
      <c r="P802" t="s">
        <v>36</v>
      </c>
      <c r="Q802">
        <v>4.7699349554324262E-2</v>
      </c>
      <c r="R802" t="s">
        <v>40</v>
      </c>
      <c r="S802">
        <v>15.201643525252525</v>
      </c>
      <c r="T802">
        <v>0.24599976294891548</v>
      </c>
      <c r="U802" t="s">
        <v>34</v>
      </c>
      <c r="V802">
        <v>0</v>
      </c>
    </row>
    <row r="803" spans="1:22" x14ac:dyDescent="0.3">
      <c r="A803" s="1">
        <v>45325</v>
      </c>
      <c r="B803" t="s">
        <v>42</v>
      </c>
      <c r="C803" t="s">
        <v>23</v>
      </c>
      <c r="D803" t="s">
        <v>24</v>
      </c>
      <c r="E803" t="s">
        <v>25</v>
      </c>
      <c r="F803" t="s">
        <v>26</v>
      </c>
      <c r="G803">
        <v>437</v>
      </c>
      <c r="H803">
        <v>3930</v>
      </c>
      <c r="I803">
        <v>6882.6147659999997</v>
      </c>
      <c r="J803" t="b">
        <v>1</v>
      </c>
      <c r="K803">
        <v>29</v>
      </c>
      <c r="L803" t="b">
        <v>0</v>
      </c>
      <c r="M803">
        <v>17200.77908</v>
      </c>
      <c r="N803">
        <v>3239.5</v>
      </c>
      <c r="O803">
        <v>6345</v>
      </c>
      <c r="P803" t="s">
        <v>27</v>
      </c>
      <c r="Q803">
        <v>0.13489736070381231</v>
      </c>
      <c r="R803" t="s">
        <v>37</v>
      </c>
      <c r="S803">
        <v>15.749690540045766</v>
      </c>
      <c r="T803">
        <v>0.51055949566587866</v>
      </c>
      <c r="U803" t="s">
        <v>29</v>
      </c>
      <c r="V803">
        <v>0</v>
      </c>
    </row>
    <row r="804" spans="1:22" x14ac:dyDescent="0.3">
      <c r="A804" s="1">
        <v>45324</v>
      </c>
      <c r="B804" t="s">
        <v>38</v>
      </c>
      <c r="C804" t="s">
        <v>41</v>
      </c>
      <c r="D804" t="s">
        <v>32</v>
      </c>
      <c r="E804" t="s">
        <v>45</v>
      </c>
      <c r="F804" t="s">
        <v>39</v>
      </c>
      <c r="G804">
        <v>337</v>
      </c>
      <c r="H804">
        <v>2549</v>
      </c>
      <c r="I804">
        <v>5599.9416149999997</v>
      </c>
      <c r="J804" t="b">
        <v>1</v>
      </c>
      <c r="K804">
        <v>20</v>
      </c>
      <c r="L804" t="b">
        <v>0</v>
      </c>
      <c r="M804">
        <v>18918.50978</v>
      </c>
      <c r="N804">
        <v>2404</v>
      </c>
      <c r="O804">
        <v>8290</v>
      </c>
      <c r="P804" t="s">
        <v>27</v>
      </c>
      <c r="Q804">
        <v>0.14018302828618967</v>
      </c>
      <c r="R804" t="s">
        <v>37</v>
      </c>
      <c r="S804">
        <v>16.617037433234419</v>
      </c>
      <c r="T804">
        <v>0.28998793727382388</v>
      </c>
      <c r="U804" t="s">
        <v>34</v>
      </c>
      <c r="V804">
        <v>0</v>
      </c>
    </row>
    <row r="805" spans="1:22" x14ac:dyDescent="0.3">
      <c r="A805" s="1">
        <v>45323</v>
      </c>
      <c r="B805" t="s">
        <v>42</v>
      </c>
      <c r="C805" t="s">
        <v>23</v>
      </c>
      <c r="D805" t="s">
        <v>35</v>
      </c>
      <c r="E805" t="s">
        <v>33</v>
      </c>
      <c r="F805" t="s">
        <v>43</v>
      </c>
      <c r="G805">
        <v>58</v>
      </c>
      <c r="H805">
        <v>2259</v>
      </c>
      <c r="I805">
        <v>3079.3188519999999</v>
      </c>
      <c r="J805" t="b">
        <v>1</v>
      </c>
      <c r="K805">
        <v>16</v>
      </c>
      <c r="L805" t="b">
        <v>0</v>
      </c>
      <c r="M805">
        <v>5699.3280130000003</v>
      </c>
      <c r="N805">
        <v>2508</v>
      </c>
      <c r="O805">
        <v>6091</v>
      </c>
      <c r="P805" t="s">
        <v>36</v>
      </c>
      <c r="Q805">
        <v>2.3125996810207338E-2</v>
      </c>
      <c r="R805" t="s">
        <v>37</v>
      </c>
      <c r="S805">
        <v>53.091704344827583</v>
      </c>
      <c r="T805">
        <v>0.41175504843211297</v>
      </c>
      <c r="U805" t="s">
        <v>29</v>
      </c>
      <c r="V805">
        <v>0</v>
      </c>
    </row>
    <row r="806" spans="1:22" x14ac:dyDescent="0.3">
      <c r="A806" s="1">
        <v>45322</v>
      </c>
      <c r="B806" t="s">
        <v>42</v>
      </c>
      <c r="C806" t="s">
        <v>23</v>
      </c>
      <c r="D806" t="s">
        <v>32</v>
      </c>
      <c r="E806" t="s">
        <v>33</v>
      </c>
      <c r="F806" t="s">
        <v>26</v>
      </c>
      <c r="G806">
        <v>197</v>
      </c>
      <c r="H806">
        <v>2757</v>
      </c>
      <c r="I806">
        <v>6052.0937039999999</v>
      </c>
      <c r="J806" t="b">
        <v>0</v>
      </c>
      <c r="K806">
        <v>13</v>
      </c>
      <c r="L806" t="b">
        <v>0</v>
      </c>
      <c r="M806">
        <v>26845.892749999999</v>
      </c>
      <c r="N806">
        <v>2729</v>
      </c>
      <c r="O806">
        <v>9282</v>
      </c>
      <c r="P806" t="s">
        <v>27</v>
      </c>
      <c r="Q806">
        <v>7.2187614510809822E-2</v>
      </c>
      <c r="R806" t="s">
        <v>28</v>
      </c>
      <c r="S806">
        <v>30.721287837563452</v>
      </c>
      <c r="T806">
        <v>0.29400991165697049</v>
      </c>
      <c r="U806" t="s">
        <v>34</v>
      </c>
      <c r="V806">
        <v>0</v>
      </c>
    </row>
    <row r="807" spans="1:22" x14ac:dyDescent="0.3">
      <c r="A807" s="1">
        <v>45321</v>
      </c>
      <c r="B807" t="s">
        <v>30</v>
      </c>
      <c r="C807" t="s">
        <v>23</v>
      </c>
      <c r="D807" t="s">
        <v>32</v>
      </c>
      <c r="E807" t="s">
        <v>45</v>
      </c>
      <c r="F807" t="s">
        <v>26</v>
      </c>
      <c r="G807">
        <v>490</v>
      </c>
      <c r="H807">
        <v>2701</v>
      </c>
      <c r="I807">
        <v>14742.712879999999</v>
      </c>
      <c r="J807" t="b">
        <v>1</v>
      </c>
      <c r="K807">
        <v>22</v>
      </c>
      <c r="L807" t="b">
        <v>0</v>
      </c>
      <c r="M807">
        <v>11172.61658</v>
      </c>
      <c r="N807">
        <v>2161.5</v>
      </c>
      <c r="O807">
        <v>5286</v>
      </c>
      <c r="P807" t="s">
        <v>27</v>
      </c>
      <c r="Q807">
        <v>0.2266944251677076</v>
      </c>
      <c r="R807" t="s">
        <v>37</v>
      </c>
      <c r="S807">
        <v>30.087169142857142</v>
      </c>
      <c r="T807">
        <v>0.40891032917139614</v>
      </c>
      <c r="U807" t="s">
        <v>29</v>
      </c>
      <c r="V807">
        <v>0</v>
      </c>
    </row>
    <row r="808" spans="1:22" x14ac:dyDescent="0.3">
      <c r="A808" s="1">
        <v>45320</v>
      </c>
      <c r="B808" t="s">
        <v>42</v>
      </c>
      <c r="C808" t="s">
        <v>23</v>
      </c>
      <c r="D808" t="s">
        <v>24</v>
      </c>
      <c r="E808" t="s">
        <v>33</v>
      </c>
      <c r="F808" t="s">
        <v>26</v>
      </c>
      <c r="G808">
        <v>384</v>
      </c>
      <c r="H808">
        <v>1622</v>
      </c>
      <c r="I808">
        <v>4403.2512219999999</v>
      </c>
      <c r="J808" t="b">
        <v>1</v>
      </c>
      <c r="K808">
        <v>22</v>
      </c>
      <c r="L808" t="b">
        <v>0</v>
      </c>
      <c r="M808">
        <v>65556.260240000003</v>
      </c>
      <c r="N808">
        <v>2603</v>
      </c>
      <c r="O808">
        <v>6750</v>
      </c>
      <c r="P808" t="s">
        <v>36</v>
      </c>
      <c r="Q808">
        <v>0.14752208989627352</v>
      </c>
      <c r="R808" t="s">
        <v>37</v>
      </c>
      <c r="S808">
        <v>11.466800057291666</v>
      </c>
      <c r="T808">
        <v>0.38562962962962966</v>
      </c>
      <c r="U808" t="s">
        <v>34</v>
      </c>
      <c r="V808">
        <v>0</v>
      </c>
    </row>
    <row r="809" spans="1:22" x14ac:dyDescent="0.3">
      <c r="A809" s="1">
        <v>45319</v>
      </c>
      <c r="B809" t="s">
        <v>42</v>
      </c>
      <c r="C809" t="s">
        <v>23</v>
      </c>
      <c r="D809" t="s">
        <v>24</v>
      </c>
      <c r="E809" t="s">
        <v>25</v>
      </c>
      <c r="F809" t="s">
        <v>43</v>
      </c>
      <c r="G809">
        <v>288</v>
      </c>
      <c r="H809">
        <v>3584</v>
      </c>
      <c r="I809">
        <v>13230.68655</v>
      </c>
      <c r="J809" t="b">
        <v>1</v>
      </c>
      <c r="K809">
        <v>4</v>
      </c>
      <c r="L809" t="b">
        <v>1</v>
      </c>
      <c r="M809">
        <v>13302.27663</v>
      </c>
      <c r="N809">
        <v>2928.5</v>
      </c>
      <c r="O809">
        <v>9494</v>
      </c>
      <c r="P809" t="s">
        <v>27</v>
      </c>
      <c r="Q809">
        <v>9.8343862045415745E-2</v>
      </c>
      <c r="R809" t="s">
        <v>40</v>
      </c>
      <c r="S809">
        <v>45.939883854166666</v>
      </c>
      <c r="T809">
        <v>0.30845797345692016</v>
      </c>
      <c r="U809" t="s">
        <v>34</v>
      </c>
      <c r="V809">
        <v>1</v>
      </c>
    </row>
    <row r="810" spans="1:22" x14ac:dyDescent="0.3">
      <c r="A810" s="1">
        <v>45318</v>
      </c>
      <c r="B810" t="s">
        <v>30</v>
      </c>
      <c r="C810" t="s">
        <v>31</v>
      </c>
      <c r="D810" t="s">
        <v>24</v>
      </c>
      <c r="E810" t="s">
        <v>45</v>
      </c>
      <c r="F810" t="s">
        <v>26</v>
      </c>
      <c r="G810">
        <v>165</v>
      </c>
      <c r="H810">
        <v>2273</v>
      </c>
      <c r="I810">
        <v>2610.0008560000001</v>
      </c>
      <c r="J810" t="b">
        <v>1</v>
      </c>
      <c r="K810">
        <v>16</v>
      </c>
      <c r="L810" t="b">
        <v>0</v>
      </c>
      <c r="M810">
        <v>28878.63233</v>
      </c>
      <c r="N810">
        <v>2828</v>
      </c>
      <c r="O810">
        <v>7056</v>
      </c>
      <c r="P810" t="s">
        <v>36</v>
      </c>
      <c r="Q810">
        <v>5.8345120226308347E-2</v>
      </c>
      <c r="R810" t="s">
        <v>37</v>
      </c>
      <c r="S810">
        <v>15.818187006060606</v>
      </c>
      <c r="T810">
        <v>0.40079365079365081</v>
      </c>
      <c r="U810" t="s">
        <v>29</v>
      </c>
      <c r="V810">
        <v>0</v>
      </c>
    </row>
    <row r="811" spans="1:22" x14ac:dyDescent="0.3">
      <c r="A811" s="1">
        <v>45317</v>
      </c>
      <c r="B811" t="s">
        <v>30</v>
      </c>
      <c r="C811" t="s">
        <v>23</v>
      </c>
      <c r="D811" t="s">
        <v>46</v>
      </c>
      <c r="E811" t="s">
        <v>25</v>
      </c>
      <c r="F811" t="s">
        <v>43</v>
      </c>
      <c r="G811">
        <v>631</v>
      </c>
      <c r="H811">
        <v>3383</v>
      </c>
      <c r="I811">
        <v>11323.08754</v>
      </c>
      <c r="J811" t="b">
        <v>1</v>
      </c>
      <c r="K811">
        <v>10</v>
      </c>
      <c r="L811" t="b">
        <v>0</v>
      </c>
      <c r="M811">
        <v>14347.903350000001</v>
      </c>
      <c r="N811">
        <v>4018.5</v>
      </c>
      <c r="O811">
        <v>5115</v>
      </c>
      <c r="P811" t="s">
        <v>36</v>
      </c>
      <c r="Q811">
        <v>0.15702376508647506</v>
      </c>
      <c r="R811" t="s">
        <v>28</v>
      </c>
      <c r="S811">
        <v>17.944671220285262</v>
      </c>
      <c r="T811">
        <v>0.78563049853372435</v>
      </c>
      <c r="U811" t="s">
        <v>29</v>
      </c>
      <c r="V811">
        <v>0</v>
      </c>
    </row>
    <row r="812" spans="1:22" x14ac:dyDescent="0.3">
      <c r="A812" s="1">
        <v>45316</v>
      </c>
      <c r="B812" t="s">
        <v>22</v>
      </c>
      <c r="C812" t="s">
        <v>23</v>
      </c>
      <c r="D812" t="s">
        <v>32</v>
      </c>
      <c r="E812" t="s">
        <v>45</v>
      </c>
      <c r="F812" t="s">
        <v>26</v>
      </c>
      <c r="G812">
        <v>599</v>
      </c>
      <c r="H812">
        <v>4654</v>
      </c>
      <c r="I812">
        <v>11382.890369999999</v>
      </c>
      <c r="J812" t="b">
        <v>1</v>
      </c>
      <c r="K812">
        <v>6</v>
      </c>
      <c r="L812" t="b">
        <v>0</v>
      </c>
      <c r="M812">
        <v>81364.774969999999</v>
      </c>
      <c r="N812">
        <v>4179.5</v>
      </c>
      <c r="O812">
        <v>9255</v>
      </c>
      <c r="P812" t="s">
        <v>27</v>
      </c>
      <c r="Q812">
        <v>0.1433185787773657</v>
      </c>
      <c r="R812" t="s">
        <v>40</v>
      </c>
      <c r="S812">
        <v>19.003155876460767</v>
      </c>
      <c r="T812">
        <v>0.45159373311723394</v>
      </c>
      <c r="U812" t="s">
        <v>29</v>
      </c>
      <c r="V812">
        <v>0</v>
      </c>
    </row>
    <row r="813" spans="1:22" x14ac:dyDescent="0.3">
      <c r="A813" s="1">
        <v>45315</v>
      </c>
      <c r="B813" t="s">
        <v>22</v>
      </c>
      <c r="C813" t="s">
        <v>31</v>
      </c>
      <c r="D813" t="s">
        <v>46</v>
      </c>
      <c r="E813" t="s">
        <v>45</v>
      </c>
      <c r="F813" t="s">
        <v>26</v>
      </c>
      <c r="G813">
        <v>964</v>
      </c>
      <c r="H813">
        <v>3705</v>
      </c>
      <c r="I813">
        <v>3394.6177109999999</v>
      </c>
      <c r="J813" t="b">
        <v>1</v>
      </c>
      <c r="K813">
        <v>23</v>
      </c>
      <c r="L813" t="b">
        <v>0</v>
      </c>
      <c r="M813">
        <v>137797.33859999999</v>
      </c>
      <c r="N813">
        <v>4237</v>
      </c>
      <c r="O813">
        <v>9249</v>
      </c>
      <c r="P813" t="s">
        <v>36</v>
      </c>
      <c r="Q813">
        <v>0.22751947132405004</v>
      </c>
      <c r="R813" t="s">
        <v>37</v>
      </c>
      <c r="S813">
        <v>3.5213876670124482</v>
      </c>
      <c r="T813">
        <v>0.45810357876527191</v>
      </c>
      <c r="U813" t="s">
        <v>29</v>
      </c>
      <c r="V813">
        <v>0</v>
      </c>
    </row>
    <row r="814" spans="1:22" x14ac:dyDescent="0.3">
      <c r="A814" s="1">
        <v>45314</v>
      </c>
      <c r="B814" t="s">
        <v>30</v>
      </c>
      <c r="C814" t="s">
        <v>41</v>
      </c>
      <c r="D814" t="s">
        <v>24</v>
      </c>
      <c r="E814" t="s">
        <v>45</v>
      </c>
      <c r="F814" t="s">
        <v>26</v>
      </c>
      <c r="G814">
        <v>792</v>
      </c>
      <c r="H814">
        <v>4769</v>
      </c>
      <c r="I814">
        <v>8114.7314649999998</v>
      </c>
      <c r="J814" t="b">
        <v>1</v>
      </c>
      <c r="K814">
        <v>1</v>
      </c>
      <c r="L814" t="b">
        <v>0</v>
      </c>
      <c r="M814">
        <v>157027.74729999999</v>
      </c>
      <c r="N814">
        <v>2739.5</v>
      </c>
      <c r="O814">
        <v>8127</v>
      </c>
      <c r="P814" t="s">
        <v>27</v>
      </c>
      <c r="Q814">
        <v>0.28910385106771308</v>
      </c>
      <c r="R814" t="s">
        <v>40</v>
      </c>
      <c r="S814">
        <v>10.245873061868688</v>
      </c>
      <c r="T814">
        <v>0.33708625569090683</v>
      </c>
      <c r="U814" t="s">
        <v>34</v>
      </c>
      <c r="V814">
        <v>0</v>
      </c>
    </row>
    <row r="815" spans="1:22" x14ac:dyDescent="0.3">
      <c r="A815" s="1">
        <v>45313</v>
      </c>
      <c r="B815" t="s">
        <v>30</v>
      </c>
      <c r="C815" t="s">
        <v>41</v>
      </c>
      <c r="D815" t="s">
        <v>46</v>
      </c>
      <c r="E815" t="s">
        <v>33</v>
      </c>
      <c r="F815" t="s">
        <v>43</v>
      </c>
      <c r="G815">
        <v>890</v>
      </c>
      <c r="H815">
        <v>710</v>
      </c>
      <c r="I815">
        <v>6811.7445010000001</v>
      </c>
      <c r="J815" t="b">
        <v>1</v>
      </c>
      <c r="K815">
        <v>19</v>
      </c>
      <c r="L815" t="b">
        <v>0</v>
      </c>
      <c r="M815">
        <v>19486.27262</v>
      </c>
      <c r="N815">
        <v>880</v>
      </c>
      <c r="O815">
        <v>7498</v>
      </c>
      <c r="P815" t="s">
        <v>36</v>
      </c>
      <c r="Q815">
        <v>1.0113636363636365</v>
      </c>
      <c r="R815" t="s">
        <v>37</v>
      </c>
      <c r="S815">
        <v>7.6536455067415732</v>
      </c>
      <c r="T815">
        <v>0.11736463056815151</v>
      </c>
      <c r="U815" t="s">
        <v>34</v>
      </c>
      <c r="V815">
        <v>0</v>
      </c>
    </row>
    <row r="816" spans="1:22" x14ac:dyDescent="0.3">
      <c r="A816" s="1">
        <v>45312</v>
      </c>
      <c r="B816" t="s">
        <v>42</v>
      </c>
      <c r="C816" t="s">
        <v>44</v>
      </c>
      <c r="D816" t="s">
        <v>32</v>
      </c>
      <c r="E816" t="s">
        <v>45</v>
      </c>
      <c r="F816" t="s">
        <v>26</v>
      </c>
      <c r="G816">
        <v>981</v>
      </c>
      <c r="H816">
        <v>1050</v>
      </c>
      <c r="I816">
        <v>9665.7417679999999</v>
      </c>
      <c r="J816" t="b">
        <v>1</v>
      </c>
      <c r="K816">
        <v>16</v>
      </c>
      <c r="L816" t="b">
        <v>0</v>
      </c>
      <c r="M816">
        <v>188805.32320000001</v>
      </c>
      <c r="N816">
        <v>2459</v>
      </c>
      <c r="O816">
        <v>9019</v>
      </c>
      <c r="P816" t="s">
        <v>36</v>
      </c>
      <c r="Q816">
        <v>0.39894265961773079</v>
      </c>
      <c r="R816" t="s">
        <v>37</v>
      </c>
      <c r="S816">
        <v>9.8529477757390413</v>
      </c>
      <c r="T816">
        <v>0.27264663488191593</v>
      </c>
      <c r="U816" t="s">
        <v>34</v>
      </c>
      <c r="V816">
        <v>0</v>
      </c>
    </row>
    <row r="817" spans="1:22" x14ac:dyDescent="0.3">
      <c r="A817" s="1">
        <v>45311</v>
      </c>
      <c r="B817" t="s">
        <v>22</v>
      </c>
      <c r="C817" t="s">
        <v>44</v>
      </c>
      <c r="D817" t="s">
        <v>46</v>
      </c>
      <c r="E817" t="s">
        <v>33</v>
      </c>
      <c r="F817" t="s">
        <v>26</v>
      </c>
      <c r="G817">
        <v>416</v>
      </c>
      <c r="H817">
        <v>3868</v>
      </c>
      <c r="I817">
        <v>14209.67548</v>
      </c>
      <c r="J817" t="b">
        <v>1</v>
      </c>
      <c r="K817">
        <v>4</v>
      </c>
      <c r="L817" t="b">
        <v>0</v>
      </c>
      <c r="M817">
        <v>76904.669630000004</v>
      </c>
      <c r="N817">
        <v>2025</v>
      </c>
      <c r="O817">
        <v>8231</v>
      </c>
      <c r="P817" t="s">
        <v>27</v>
      </c>
      <c r="Q817">
        <v>0.20543209876543209</v>
      </c>
      <c r="R817" t="s">
        <v>40</v>
      </c>
      <c r="S817">
        <v>34.15787375</v>
      </c>
      <c r="T817">
        <v>0.24602113959421698</v>
      </c>
      <c r="U817" t="s">
        <v>34</v>
      </c>
      <c r="V817">
        <v>0</v>
      </c>
    </row>
    <row r="818" spans="1:22" x14ac:dyDescent="0.3">
      <c r="A818" s="1">
        <v>45310</v>
      </c>
      <c r="B818" t="s">
        <v>22</v>
      </c>
      <c r="C818" t="s">
        <v>23</v>
      </c>
      <c r="D818" t="s">
        <v>46</v>
      </c>
      <c r="E818" t="s">
        <v>45</v>
      </c>
      <c r="F818" t="s">
        <v>26</v>
      </c>
      <c r="G818">
        <v>997</v>
      </c>
      <c r="H818">
        <v>182</v>
      </c>
      <c r="I818">
        <v>10501.97309</v>
      </c>
      <c r="J818" t="b">
        <v>1</v>
      </c>
      <c r="K818">
        <v>16</v>
      </c>
      <c r="L818" t="b">
        <v>0</v>
      </c>
      <c r="M818">
        <v>153998.1453</v>
      </c>
      <c r="N818">
        <v>2160</v>
      </c>
      <c r="O818">
        <v>8663</v>
      </c>
      <c r="P818" t="s">
        <v>36</v>
      </c>
      <c r="Q818">
        <v>0.46157407407407408</v>
      </c>
      <c r="R818" t="s">
        <v>37</v>
      </c>
      <c r="S818">
        <v>10.533573811434302</v>
      </c>
      <c r="T818">
        <v>0.24933625764746623</v>
      </c>
      <c r="U818" t="s">
        <v>34</v>
      </c>
      <c r="V818">
        <v>0</v>
      </c>
    </row>
    <row r="819" spans="1:22" x14ac:dyDescent="0.3">
      <c r="A819" s="1">
        <v>45309</v>
      </c>
      <c r="B819" t="s">
        <v>42</v>
      </c>
      <c r="C819" t="s">
        <v>41</v>
      </c>
      <c r="D819" t="s">
        <v>35</v>
      </c>
      <c r="E819" t="s">
        <v>33</v>
      </c>
      <c r="F819" t="s">
        <v>43</v>
      </c>
      <c r="G819">
        <v>741</v>
      </c>
      <c r="H819">
        <v>4138</v>
      </c>
      <c r="I819">
        <v>776.93839060000005</v>
      </c>
      <c r="J819" t="b">
        <v>1</v>
      </c>
      <c r="K819">
        <v>9</v>
      </c>
      <c r="L819" t="b">
        <v>0</v>
      </c>
      <c r="M819">
        <v>104045.04580000001</v>
      </c>
      <c r="N819">
        <v>3870</v>
      </c>
      <c r="O819">
        <v>8435</v>
      </c>
      <c r="P819" t="s">
        <v>27</v>
      </c>
      <c r="Q819">
        <v>0.19147286821705425</v>
      </c>
      <c r="R819" t="s">
        <v>28</v>
      </c>
      <c r="S819">
        <v>1.0484998523616735</v>
      </c>
      <c r="T819">
        <v>0.45880260818020152</v>
      </c>
      <c r="U819" t="s">
        <v>29</v>
      </c>
      <c r="V819">
        <v>0</v>
      </c>
    </row>
    <row r="820" spans="1:22" x14ac:dyDescent="0.3">
      <c r="A820" s="1">
        <v>45308</v>
      </c>
      <c r="B820" t="s">
        <v>38</v>
      </c>
      <c r="C820" t="s">
        <v>44</v>
      </c>
      <c r="D820" t="s">
        <v>46</v>
      </c>
      <c r="E820" t="s">
        <v>45</v>
      </c>
      <c r="F820" t="s">
        <v>26</v>
      </c>
      <c r="G820">
        <v>583</v>
      </c>
      <c r="H820">
        <v>3602</v>
      </c>
      <c r="I820">
        <v>5478.9779490000001</v>
      </c>
      <c r="J820" t="b">
        <v>1</v>
      </c>
      <c r="K820">
        <v>4</v>
      </c>
      <c r="L820" t="b">
        <v>0</v>
      </c>
      <c r="M820">
        <v>38164.544600000001</v>
      </c>
      <c r="N820">
        <v>2554.5</v>
      </c>
      <c r="O820">
        <v>7085</v>
      </c>
      <c r="P820" t="s">
        <v>27</v>
      </c>
      <c r="Q820">
        <v>0.22822470150714425</v>
      </c>
      <c r="R820" t="s">
        <v>40</v>
      </c>
      <c r="S820">
        <v>9.397903857632933</v>
      </c>
      <c r="T820">
        <v>0.36055045871559632</v>
      </c>
      <c r="U820" t="s">
        <v>34</v>
      </c>
      <c r="V820">
        <v>0</v>
      </c>
    </row>
    <row r="821" spans="1:22" x14ac:dyDescent="0.3">
      <c r="A821" s="1">
        <v>45307</v>
      </c>
      <c r="B821" t="s">
        <v>42</v>
      </c>
      <c r="C821" t="s">
        <v>23</v>
      </c>
      <c r="D821" t="s">
        <v>35</v>
      </c>
      <c r="E821" t="s">
        <v>25</v>
      </c>
      <c r="F821" t="s">
        <v>43</v>
      </c>
      <c r="G821">
        <v>917</v>
      </c>
      <c r="H821">
        <v>1507</v>
      </c>
      <c r="I821">
        <v>10132.920819999999</v>
      </c>
      <c r="J821" t="b">
        <v>1</v>
      </c>
      <c r="K821">
        <v>18</v>
      </c>
      <c r="L821" t="b">
        <v>1</v>
      </c>
      <c r="M821">
        <v>121505.7111</v>
      </c>
      <c r="N821">
        <v>3119</v>
      </c>
      <c r="O821">
        <v>6024</v>
      </c>
      <c r="P821" t="s">
        <v>36</v>
      </c>
      <c r="Q821">
        <v>0.29400448861814682</v>
      </c>
      <c r="R821" t="s">
        <v>37</v>
      </c>
      <c r="S821">
        <v>11.050077230098145</v>
      </c>
      <c r="T821">
        <v>0.51776228419654713</v>
      </c>
      <c r="U821" t="s">
        <v>29</v>
      </c>
      <c r="V821">
        <v>1</v>
      </c>
    </row>
    <row r="822" spans="1:22" x14ac:dyDescent="0.3">
      <c r="A822" s="1">
        <v>45306</v>
      </c>
      <c r="B822" t="s">
        <v>22</v>
      </c>
      <c r="C822" t="s">
        <v>31</v>
      </c>
      <c r="D822" t="s">
        <v>35</v>
      </c>
      <c r="E822" t="s">
        <v>45</v>
      </c>
      <c r="F822" t="s">
        <v>43</v>
      </c>
      <c r="G822">
        <v>270</v>
      </c>
      <c r="H822">
        <v>4731</v>
      </c>
      <c r="I822">
        <v>10901.905220000001</v>
      </c>
      <c r="J822" t="b">
        <v>1</v>
      </c>
      <c r="K822">
        <v>9</v>
      </c>
      <c r="L822" t="b">
        <v>0</v>
      </c>
      <c r="M822">
        <v>6578.0765879999999</v>
      </c>
      <c r="N822">
        <v>4135.5</v>
      </c>
      <c r="O822">
        <v>8263</v>
      </c>
      <c r="P822" t="s">
        <v>27</v>
      </c>
      <c r="Q822">
        <v>6.5288356909684445E-2</v>
      </c>
      <c r="R822" t="s">
        <v>28</v>
      </c>
      <c r="S822">
        <v>40.377426740740745</v>
      </c>
      <c r="T822">
        <v>0.50048408568316594</v>
      </c>
      <c r="U822" t="s">
        <v>29</v>
      </c>
      <c r="V822">
        <v>0</v>
      </c>
    </row>
    <row r="823" spans="1:22" x14ac:dyDescent="0.3">
      <c r="A823" s="1">
        <v>45305</v>
      </c>
      <c r="B823" t="s">
        <v>38</v>
      </c>
      <c r="C823" t="s">
        <v>44</v>
      </c>
      <c r="D823" t="s">
        <v>35</v>
      </c>
      <c r="E823" t="s">
        <v>33</v>
      </c>
      <c r="F823" t="s">
        <v>26</v>
      </c>
      <c r="G823">
        <v>935</v>
      </c>
      <c r="H823">
        <v>3540</v>
      </c>
      <c r="I823">
        <v>3289.0222659999999</v>
      </c>
      <c r="J823" t="b">
        <v>1</v>
      </c>
      <c r="K823">
        <v>28</v>
      </c>
      <c r="L823" t="b">
        <v>1</v>
      </c>
      <c r="M823">
        <v>66641.286840000001</v>
      </c>
      <c r="N823">
        <v>1940</v>
      </c>
      <c r="O823">
        <v>6415</v>
      </c>
      <c r="P823" t="s">
        <v>27</v>
      </c>
      <c r="Q823">
        <v>0.48195876288659795</v>
      </c>
      <c r="R823" t="s">
        <v>37</v>
      </c>
      <c r="S823">
        <v>3.5176708727272725</v>
      </c>
      <c r="T823">
        <v>0.30241621200311769</v>
      </c>
      <c r="U823" t="s">
        <v>34</v>
      </c>
      <c r="V823">
        <v>1</v>
      </c>
    </row>
    <row r="824" spans="1:22" x14ac:dyDescent="0.3">
      <c r="A824" s="1">
        <v>45304</v>
      </c>
      <c r="B824" t="s">
        <v>22</v>
      </c>
      <c r="C824" t="s">
        <v>44</v>
      </c>
      <c r="D824" t="s">
        <v>35</v>
      </c>
      <c r="E824" t="s">
        <v>33</v>
      </c>
      <c r="F824" t="s">
        <v>26</v>
      </c>
      <c r="G824">
        <v>879</v>
      </c>
      <c r="H824">
        <v>340</v>
      </c>
      <c r="I824">
        <v>14406.721509999999</v>
      </c>
      <c r="J824" t="b">
        <v>1</v>
      </c>
      <c r="K824">
        <v>17</v>
      </c>
      <c r="L824" t="b">
        <v>0</v>
      </c>
      <c r="M824">
        <v>105558.6146</v>
      </c>
      <c r="N824">
        <v>2222.5</v>
      </c>
      <c r="O824">
        <v>7675</v>
      </c>
      <c r="P824" t="s">
        <v>36</v>
      </c>
      <c r="Q824">
        <v>0.39550056242969628</v>
      </c>
      <c r="R824" t="s">
        <v>37</v>
      </c>
      <c r="S824">
        <v>16.389899328782707</v>
      </c>
      <c r="T824">
        <v>0.28957654723127035</v>
      </c>
      <c r="U824" t="s">
        <v>34</v>
      </c>
      <c r="V824">
        <v>0</v>
      </c>
    </row>
    <row r="825" spans="1:22" x14ac:dyDescent="0.3">
      <c r="A825" s="1">
        <v>45303</v>
      </c>
      <c r="B825" t="s">
        <v>42</v>
      </c>
      <c r="C825" t="s">
        <v>31</v>
      </c>
      <c r="D825" t="s">
        <v>24</v>
      </c>
      <c r="E825" t="s">
        <v>33</v>
      </c>
      <c r="F825" t="s">
        <v>39</v>
      </c>
      <c r="G825">
        <v>476</v>
      </c>
      <c r="H825">
        <v>4105</v>
      </c>
      <c r="I825">
        <v>13288.645549999999</v>
      </c>
      <c r="J825" t="b">
        <v>1</v>
      </c>
      <c r="K825">
        <v>27</v>
      </c>
      <c r="L825" t="b">
        <v>0</v>
      </c>
      <c r="M825">
        <v>49146.161229999998</v>
      </c>
      <c r="N825">
        <v>3392</v>
      </c>
      <c r="O825">
        <v>8570</v>
      </c>
      <c r="P825" t="s">
        <v>27</v>
      </c>
      <c r="Q825">
        <v>0.14033018867924529</v>
      </c>
      <c r="R825" t="s">
        <v>37</v>
      </c>
      <c r="S825">
        <v>27.917322584033613</v>
      </c>
      <c r="T825">
        <v>0.39579929988331386</v>
      </c>
      <c r="U825" t="s">
        <v>34</v>
      </c>
      <c r="V825">
        <v>0</v>
      </c>
    </row>
    <row r="826" spans="1:22" x14ac:dyDescent="0.3">
      <c r="A826" s="1">
        <v>45302</v>
      </c>
      <c r="B826" t="s">
        <v>42</v>
      </c>
      <c r="C826" t="s">
        <v>31</v>
      </c>
      <c r="D826" t="s">
        <v>32</v>
      </c>
      <c r="E826" t="s">
        <v>25</v>
      </c>
      <c r="F826" t="s">
        <v>26</v>
      </c>
      <c r="G826">
        <v>702</v>
      </c>
      <c r="H826">
        <v>2679</v>
      </c>
      <c r="I826">
        <v>9518.7214559999993</v>
      </c>
      <c r="J826" t="b">
        <v>1</v>
      </c>
      <c r="K826">
        <v>23</v>
      </c>
      <c r="L826" t="b">
        <v>0</v>
      </c>
      <c r="M826">
        <v>94065.326360000006</v>
      </c>
      <c r="N826">
        <v>2989</v>
      </c>
      <c r="O826">
        <v>8497</v>
      </c>
      <c r="P826" t="s">
        <v>36</v>
      </c>
      <c r="Q826">
        <v>0.23486115757778522</v>
      </c>
      <c r="R826" t="s">
        <v>37</v>
      </c>
      <c r="S826">
        <v>13.559432273504273</v>
      </c>
      <c r="T826">
        <v>0.35177121336942452</v>
      </c>
      <c r="U826" t="s">
        <v>34</v>
      </c>
      <c r="V826">
        <v>0</v>
      </c>
    </row>
    <row r="827" spans="1:22" x14ac:dyDescent="0.3">
      <c r="A827" s="1">
        <v>45301</v>
      </c>
      <c r="B827" t="s">
        <v>22</v>
      </c>
      <c r="C827" t="s">
        <v>23</v>
      </c>
      <c r="D827" t="s">
        <v>32</v>
      </c>
      <c r="E827" t="s">
        <v>33</v>
      </c>
      <c r="F827" t="s">
        <v>43</v>
      </c>
      <c r="G827">
        <v>83</v>
      </c>
      <c r="H827">
        <v>3299</v>
      </c>
      <c r="I827">
        <v>3004.9729659999998</v>
      </c>
      <c r="J827" t="b">
        <v>1</v>
      </c>
      <c r="K827">
        <v>25</v>
      </c>
      <c r="L827" t="b">
        <v>0</v>
      </c>
      <c r="M827">
        <v>11747.32987</v>
      </c>
      <c r="N827">
        <v>3334</v>
      </c>
      <c r="O827">
        <v>8824</v>
      </c>
      <c r="P827" t="s">
        <v>36</v>
      </c>
      <c r="Q827">
        <v>2.4895020995800841E-2</v>
      </c>
      <c r="R827" t="s">
        <v>37</v>
      </c>
      <c r="S827">
        <v>36.204493566265057</v>
      </c>
      <c r="T827">
        <v>0.37783318223028106</v>
      </c>
      <c r="U827" t="s">
        <v>34</v>
      </c>
      <c r="V827">
        <v>0</v>
      </c>
    </row>
    <row r="828" spans="1:22" x14ac:dyDescent="0.3">
      <c r="A828" s="1">
        <v>45300</v>
      </c>
      <c r="B828" t="s">
        <v>42</v>
      </c>
      <c r="C828" t="s">
        <v>44</v>
      </c>
      <c r="D828" t="s">
        <v>32</v>
      </c>
      <c r="E828" t="s">
        <v>33</v>
      </c>
      <c r="F828" t="s">
        <v>43</v>
      </c>
      <c r="G828">
        <v>520</v>
      </c>
      <c r="H828">
        <v>3369</v>
      </c>
      <c r="I828">
        <v>5506.3360050000001</v>
      </c>
      <c r="J828" t="b">
        <v>1</v>
      </c>
      <c r="K828">
        <v>29</v>
      </c>
      <c r="L828" t="b">
        <v>0</v>
      </c>
      <c r="M828">
        <v>61093.335319999998</v>
      </c>
      <c r="N828">
        <v>3103.5</v>
      </c>
      <c r="O828">
        <v>6027</v>
      </c>
      <c r="P828" t="s">
        <v>27</v>
      </c>
      <c r="Q828">
        <v>0.16755276300950539</v>
      </c>
      <c r="R828" t="s">
        <v>37</v>
      </c>
      <c r="S828">
        <v>10.589107701923076</v>
      </c>
      <c r="T828">
        <v>0.51493280238924843</v>
      </c>
      <c r="U828" t="s">
        <v>29</v>
      </c>
      <c r="V828">
        <v>0</v>
      </c>
    </row>
    <row r="829" spans="1:22" x14ac:dyDescent="0.3">
      <c r="A829" s="1">
        <v>45299</v>
      </c>
      <c r="B829" t="s">
        <v>38</v>
      </c>
      <c r="C829" t="s">
        <v>44</v>
      </c>
      <c r="D829" t="s">
        <v>32</v>
      </c>
      <c r="E829" t="s">
        <v>25</v>
      </c>
      <c r="F829" t="s">
        <v>26</v>
      </c>
      <c r="G829">
        <v>836</v>
      </c>
      <c r="H829">
        <v>2838</v>
      </c>
      <c r="I829">
        <v>7020.3161689999997</v>
      </c>
      <c r="J829" t="b">
        <v>1</v>
      </c>
      <c r="K829">
        <v>10</v>
      </c>
      <c r="L829" t="b">
        <v>0</v>
      </c>
      <c r="M829">
        <v>68049.136369999993</v>
      </c>
      <c r="N829">
        <v>2402.5</v>
      </c>
      <c r="O829">
        <v>8806</v>
      </c>
      <c r="P829" t="s">
        <v>27</v>
      </c>
      <c r="Q829">
        <v>0.34797086368366287</v>
      </c>
      <c r="R829" t="s">
        <v>28</v>
      </c>
      <c r="S829">
        <v>8.3975073791866031</v>
      </c>
      <c r="T829">
        <v>0.27282534635475814</v>
      </c>
      <c r="U829" t="s">
        <v>34</v>
      </c>
      <c r="V829">
        <v>0</v>
      </c>
    </row>
    <row r="830" spans="1:22" x14ac:dyDescent="0.3">
      <c r="A830" s="1">
        <v>45298</v>
      </c>
      <c r="B830" t="s">
        <v>42</v>
      </c>
      <c r="C830" t="s">
        <v>23</v>
      </c>
      <c r="D830" t="s">
        <v>24</v>
      </c>
      <c r="E830" t="s">
        <v>25</v>
      </c>
      <c r="F830" t="s">
        <v>26</v>
      </c>
      <c r="G830">
        <v>94</v>
      </c>
      <c r="H830">
        <v>1967</v>
      </c>
      <c r="I830">
        <v>4518.5931019999998</v>
      </c>
      <c r="J830" t="b">
        <v>1</v>
      </c>
      <c r="K830">
        <v>15</v>
      </c>
      <c r="L830" t="b">
        <v>0</v>
      </c>
      <c r="M830">
        <v>10043.99461</v>
      </c>
      <c r="N830">
        <v>2317.5</v>
      </c>
      <c r="O830">
        <v>5621</v>
      </c>
      <c r="P830" t="s">
        <v>36</v>
      </c>
      <c r="Q830">
        <v>4.0560949298813376E-2</v>
      </c>
      <c r="R830" t="s">
        <v>37</v>
      </c>
      <c r="S830">
        <v>48.070139382978724</v>
      </c>
      <c r="T830">
        <v>0.41229318626578898</v>
      </c>
      <c r="U830" t="s">
        <v>29</v>
      </c>
      <c r="V830">
        <v>0</v>
      </c>
    </row>
    <row r="831" spans="1:22" x14ac:dyDescent="0.3">
      <c r="A831" s="1">
        <v>45297</v>
      </c>
      <c r="B831" t="s">
        <v>42</v>
      </c>
      <c r="C831" t="s">
        <v>44</v>
      </c>
      <c r="D831" t="s">
        <v>35</v>
      </c>
      <c r="E831" t="s">
        <v>33</v>
      </c>
      <c r="F831" t="s">
        <v>39</v>
      </c>
      <c r="G831">
        <v>79</v>
      </c>
      <c r="H831">
        <v>2668</v>
      </c>
      <c r="I831">
        <v>9833.9371919999994</v>
      </c>
      <c r="J831" t="b">
        <v>0</v>
      </c>
      <c r="K831">
        <v>10</v>
      </c>
      <c r="L831" t="b">
        <v>0</v>
      </c>
      <c r="M831">
        <v>4584.473234</v>
      </c>
      <c r="N831">
        <v>2318.5</v>
      </c>
      <c r="O831">
        <v>7288</v>
      </c>
      <c r="P831" t="s">
        <v>27</v>
      </c>
      <c r="Q831">
        <v>3.4073754582704334E-2</v>
      </c>
      <c r="R831" t="s">
        <v>28</v>
      </c>
      <c r="S831">
        <v>124.48021762025316</v>
      </c>
      <c r="T831">
        <v>0.31812568605927555</v>
      </c>
      <c r="U831" t="s">
        <v>34</v>
      </c>
      <c r="V831">
        <v>0</v>
      </c>
    </row>
    <row r="832" spans="1:22" x14ac:dyDescent="0.3">
      <c r="A832" s="1">
        <v>45296</v>
      </c>
      <c r="B832" t="s">
        <v>30</v>
      </c>
      <c r="C832" t="s">
        <v>44</v>
      </c>
      <c r="D832" t="s">
        <v>24</v>
      </c>
      <c r="E832" t="s">
        <v>25</v>
      </c>
      <c r="F832" t="s">
        <v>43</v>
      </c>
      <c r="G832">
        <v>917</v>
      </c>
      <c r="H832">
        <v>1969</v>
      </c>
      <c r="I832">
        <v>917.61711790000004</v>
      </c>
      <c r="J832" t="b">
        <v>1</v>
      </c>
      <c r="K832">
        <v>15</v>
      </c>
      <c r="L832" t="b">
        <v>1</v>
      </c>
      <c r="M832">
        <v>85683.549429999999</v>
      </c>
      <c r="N832">
        <v>2295</v>
      </c>
      <c r="O832">
        <v>6120</v>
      </c>
      <c r="P832" t="s">
        <v>36</v>
      </c>
      <c r="Q832">
        <v>0.39956427015250545</v>
      </c>
      <c r="R832" t="s">
        <v>37</v>
      </c>
      <c r="S832">
        <v>1.0006729748091603</v>
      </c>
      <c r="T832">
        <v>0.375</v>
      </c>
      <c r="U832" t="s">
        <v>34</v>
      </c>
      <c r="V832">
        <v>1</v>
      </c>
    </row>
    <row r="833" spans="1:22" x14ac:dyDescent="0.3">
      <c r="A833" s="1">
        <v>45295</v>
      </c>
      <c r="B833" t="s">
        <v>30</v>
      </c>
      <c r="C833" t="s">
        <v>31</v>
      </c>
      <c r="D833" t="s">
        <v>24</v>
      </c>
      <c r="E833" t="s">
        <v>33</v>
      </c>
      <c r="F833" t="s">
        <v>26</v>
      </c>
      <c r="G833">
        <v>999</v>
      </c>
      <c r="H833">
        <v>2621</v>
      </c>
      <c r="I833">
        <v>9588.1725320000005</v>
      </c>
      <c r="J833" t="b">
        <v>1</v>
      </c>
      <c r="K833">
        <v>28</v>
      </c>
      <c r="L833" t="b">
        <v>0</v>
      </c>
      <c r="M833">
        <v>107872.30959999999</v>
      </c>
      <c r="N833">
        <v>2842.5</v>
      </c>
      <c r="O833">
        <v>5152</v>
      </c>
      <c r="P833" t="s">
        <v>36</v>
      </c>
      <c r="Q833">
        <v>0.35145118733509234</v>
      </c>
      <c r="R833" t="s">
        <v>37</v>
      </c>
      <c r="S833">
        <v>9.5977703023023029</v>
      </c>
      <c r="T833">
        <v>0.55172748447204967</v>
      </c>
      <c r="U833" t="s">
        <v>29</v>
      </c>
      <c r="V833">
        <v>0</v>
      </c>
    </row>
    <row r="834" spans="1:22" x14ac:dyDescent="0.3">
      <c r="A834" s="1">
        <v>45294</v>
      </c>
      <c r="B834" t="s">
        <v>38</v>
      </c>
      <c r="C834" t="s">
        <v>23</v>
      </c>
      <c r="D834" t="s">
        <v>35</v>
      </c>
      <c r="E834" t="s">
        <v>33</v>
      </c>
      <c r="F834" t="s">
        <v>43</v>
      </c>
      <c r="G834">
        <v>195</v>
      </c>
      <c r="H834">
        <v>3064</v>
      </c>
      <c r="I834">
        <v>2739.0284839999999</v>
      </c>
      <c r="J834" t="b">
        <v>1</v>
      </c>
      <c r="K834">
        <v>2</v>
      </c>
      <c r="L834" t="b">
        <v>0</v>
      </c>
      <c r="M834">
        <v>25200.77925</v>
      </c>
      <c r="N834">
        <v>2492</v>
      </c>
      <c r="O834">
        <v>6030</v>
      </c>
      <c r="P834" t="s">
        <v>27</v>
      </c>
      <c r="Q834">
        <v>7.825040128410915E-2</v>
      </c>
      <c r="R834" t="s">
        <v>40</v>
      </c>
      <c r="S834">
        <v>14.046299917948717</v>
      </c>
      <c r="T834">
        <v>0.41326699834162522</v>
      </c>
      <c r="U834" t="s">
        <v>29</v>
      </c>
      <c r="V834">
        <v>0</v>
      </c>
    </row>
    <row r="835" spans="1:22" x14ac:dyDescent="0.3">
      <c r="A835" s="1">
        <v>45293</v>
      </c>
      <c r="B835" t="s">
        <v>38</v>
      </c>
      <c r="C835" t="s">
        <v>41</v>
      </c>
      <c r="D835" t="s">
        <v>46</v>
      </c>
      <c r="E835" t="s">
        <v>33</v>
      </c>
      <c r="F835" t="s">
        <v>26</v>
      </c>
      <c r="G835">
        <v>833</v>
      </c>
      <c r="H835">
        <v>1920</v>
      </c>
      <c r="I835">
        <v>13698.1415</v>
      </c>
      <c r="J835" t="b">
        <v>1</v>
      </c>
      <c r="K835">
        <v>26</v>
      </c>
      <c r="L835" t="b">
        <v>0</v>
      </c>
      <c r="M835">
        <v>96464.936319999993</v>
      </c>
      <c r="N835">
        <v>2215</v>
      </c>
      <c r="O835">
        <v>5905</v>
      </c>
      <c r="P835" t="s">
        <v>36</v>
      </c>
      <c r="Q835">
        <v>0.37607223476297968</v>
      </c>
      <c r="R835" t="s">
        <v>37</v>
      </c>
      <c r="S835">
        <v>16.444347539015606</v>
      </c>
      <c r="T835">
        <v>0.37510584250635054</v>
      </c>
      <c r="U835" t="s">
        <v>34</v>
      </c>
      <c r="V835">
        <v>0</v>
      </c>
    </row>
    <row r="836" spans="1:22" x14ac:dyDescent="0.3">
      <c r="A836" s="1">
        <v>45292</v>
      </c>
      <c r="B836" t="s">
        <v>30</v>
      </c>
      <c r="C836" t="s">
        <v>31</v>
      </c>
      <c r="D836" t="s">
        <v>32</v>
      </c>
      <c r="E836" t="s">
        <v>33</v>
      </c>
      <c r="F836" t="s">
        <v>26</v>
      </c>
      <c r="G836">
        <v>273</v>
      </c>
      <c r="H836">
        <v>2510</v>
      </c>
      <c r="I836">
        <v>4107.5574239999996</v>
      </c>
      <c r="J836" t="b">
        <v>1</v>
      </c>
      <c r="K836">
        <v>22</v>
      </c>
      <c r="L836" t="b">
        <v>0</v>
      </c>
      <c r="M836">
        <v>18667.912990000001</v>
      </c>
      <c r="N836">
        <v>1330.5</v>
      </c>
      <c r="O836">
        <v>7283</v>
      </c>
      <c r="P836" t="s">
        <v>27</v>
      </c>
      <c r="Q836">
        <v>0.20518602029312288</v>
      </c>
      <c r="R836" t="s">
        <v>37</v>
      </c>
      <c r="S836">
        <v>15.045997890109888</v>
      </c>
      <c r="T836">
        <v>0.18268570643965398</v>
      </c>
      <c r="U836" t="s">
        <v>34</v>
      </c>
      <c r="V836">
        <v>0</v>
      </c>
    </row>
    <row r="837" spans="1:22" x14ac:dyDescent="0.3">
      <c r="A837" s="1">
        <v>45291</v>
      </c>
      <c r="B837" t="s">
        <v>30</v>
      </c>
      <c r="C837" t="s">
        <v>31</v>
      </c>
      <c r="D837" t="s">
        <v>24</v>
      </c>
      <c r="E837" t="s">
        <v>33</v>
      </c>
      <c r="F837" t="s">
        <v>43</v>
      </c>
      <c r="G837">
        <v>967</v>
      </c>
      <c r="H837">
        <v>151</v>
      </c>
      <c r="I837">
        <v>10866.81594</v>
      </c>
      <c r="J837" t="b">
        <v>1</v>
      </c>
      <c r="K837">
        <v>9</v>
      </c>
      <c r="L837" t="b">
        <v>0</v>
      </c>
      <c r="M837">
        <v>72009.190090000004</v>
      </c>
      <c r="N837">
        <v>2069.5</v>
      </c>
      <c r="O837">
        <v>7420</v>
      </c>
      <c r="P837" t="s">
        <v>36</v>
      </c>
      <c r="Q837">
        <v>0.46726262382217926</v>
      </c>
      <c r="R837" t="s">
        <v>28</v>
      </c>
      <c r="S837">
        <v>11.237658676318512</v>
      </c>
      <c r="T837">
        <v>0.27890835579514822</v>
      </c>
      <c r="U837" t="s">
        <v>34</v>
      </c>
      <c r="V837">
        <v>0</v>
      </c>
    </row>
    <row r="838" spans="1:22" x14ac:dyDescent="0.3">
      <c r="A838" s="1">
        <v>45290</v>
      </c>
      <c r="B838" t="s">
        <v>38</v>
      </c>
      <c r="C838" t="s">
        <v>44</v>
      </c>
      <c r="D838" t="s">
        <v>24</v>
      </c>
      <c r="E838" t="s">
        <v>25</v>
      </c>
      <c r="F838" t="s">
        <v>43</v>
      </c>
      <c r="G838">
        <v>947</v>
      </c>
      <c r="H838">
        <v>3988</v>
      </c>
      <c r="I838">
        <v>12297.327789999999</v>
      </c>
      <c r="J838" t="b">
        <v>0</v>
      </c>
      <c r="K838">
        <v>23</v>
      </c>
      <c r="L838" t="b">
        <v>1</v>
      </c>
      <c r="M838">
        <v>64196.996570000003</v>
      </c>
      <c r="N838">
        <v>2140</v>
      </c>
      <c r="O838">
        <v>7699</v>
      </c>
      <c r="P838" t="s">
        <v>27</v>
      </c>
      <c r="Q838">
        <v>0.44252336448598129</v>
      </c>
      <c r="R838" t="s">
        <v>37</v>
      </c>
      <c r="S838">
        <v>12.985562608236537</v>
      </c>
      <c r="T838">
        <v>0.27795817638654369</v>
      </c>
      <c r="U838" t="s">
        <v>34</v>
      </c>
      <c r="V838">
        <v>1</v>
      </c>
    </row>
    <row r="839" spans="1:22" x14ac:dyDescent="0.3">
      <c r="A839" s="1">
        <v>45289</v>
      </c>
      <c r="B839" t="s">
        <v>22</v>
      </c>
      <c r="C839" t="s">
        <v>23</v>
      </c>
      <c r="D839" t="s">
        <v>35</v>
      </c>
      <c r="E839" t="s">
        <v>25</v>
      </c>
      <c r="F839" t="s">
        <v>26</v>
      </c>
      <c r="G839">
        <v>213</v>
      </c>
      <c r="H839">
        <v>292</v>
      </c>
      <c r="I839">
        <v>13419.814399999999</v>
      </c>
      <c r="J839" t="b">
        <v>0</v>
      </c>
      <c r="K839">
        <v>29</v>
      </c>
      <c r="L839" t="b">
        <v>0</v>
      </c>
      <c r="M839">
        <v>20219.44672</v>
      </c>
      <c r="N839">
        <v>1984.5</v>
      </c>
      <c r="O839">
        <v>5781</v>
      </c>
      <c r="P839" t="s">
        <v>36</v>
      </c>
      <c r="Q839">
        <v>0.10733182161753591</v>
      </c>
      <c r="R839" t="s">
        <v>37</v>
      </c>
      <c r="S839">
        <v>63.003823474178404</v>
      </c>
      <c r="T839">
        <v>0.34327970939283858</v>
      </c>
      <c r="U839" t="s">
        <v>34</v>
      </c>
      <c r="V839">
        <v>0</v>
      </c>
    </row>
    <row r="840" spans="1:22" x14ac:dyDescent="0.3">
      <c r="A840" s="1">
        <v>45288</v>
      </c>
      <c r="B840" t="s">
        <v>22</v>
      </c>
      <c r="C840" t="s">
        <v>23</v>
      </c>
      <c r="D840" t="s">
        <v>24</v>
      </c>
      <c r="E840" t="s">
        <v>33</v>
      </c>
      <c r="F840" t="s">
        <v>26</v>
      </c>
      <c r="G840">
        <v>880</v>
      </c>
      <c r="H840">
        <v>3677</v>
      </c>
      <c r="I840">
        <v>6159.2854349999998</v>
      </c>
      <c r="J840" t="b">
        <v>1</v>
      </c>
      <c r="K840">
        <v>2</v>
      </c>
      <c r="L840" t="b">
        <v>0</v>
      </c>
      <c r="M840">
        <v>170526.0478</v>
      </c>
      <c r="N840">
        <v>4171</v>
      </c>
      <c r="O840">
        <v>9009</v>
      </c>
      <c r="P840" t="s">
        <v>36</v>
      </c>
      <c r="Q840">
        <v>0.21098058019659555</v>
      </c>
      <c r="R840" t="s">
        <v>40</v>
      </c>
      <c r="S840">
        <v>6.9991879943181816</v>
      </c>
      <c r="T840">
        <v>0.46298146298146298</v>
      </c>
      <c r="U840" t="s">
        <v>29</v>
      </c>
      <c r="V840">
        <v>0</v>
      </c>
    </row>
    <row r="841" spans="1:22" x14ac:dyDescent="0.3">
      <c r="A841" s="1">
        <v>45287</v>
      </c>
      <c r="B841" t="s">
        <v>42</v>
      </c>
      <c r="C841" t="s">
        <v>31</v>
      </c>
      <c r="D841" t="s">
        <v>46</v>
      </c>
      <c r="E841" t="s">
        <v>45</v>
      </c>
      <c r="F841" t="s">
        <v>26</v>
      </c>
      <c r="G841">
        <v>887</v>
      </c>
      <c r="H841">
        <v>4665</v>
      </c>
      <c r="I841">
        <v>5499.1616199999999</v>
      </c>
      <c r="J841" t="b">
        <v>1</v>
      </c>
      <c r="K841">
        <v>26</v>
      </c>
      <c r="L841" t="b">
        <v>0</v>
      </c>
      <c r="M841">
        <v>173979.8265</v>
      </c>
      <c r="N841">
        <v>2455</v>
      </c>
      <c r="O841">
        <v>9045</v>
      </c>
      <c r="P841" t="s">
        <v>27</v>
      </c>
      <c r="Q841">
        <v>0.36130346232179228</v>
      </c>
      <c r="R841" t="s">
        <v>37</v>
      </c>
      <c r="S841">
        <v>6.1997312514092444</v>
      </c>
      <c r="T841">
        <v>0.27142067440574902</v>
      </c>
      <c r="U841" t="s">
        <v>34</v>
      </c>
      <c r="V841">
        <v>0</v>
      </c>
    </row>
    <row r="842" spans="1:22" x14ac:dyDescent="0.3">
      <c r="A842" s="1">
        <v>45286</v>
      </c>
      <c r="B842" t="s">
        <v>30</v>
      </c>
      <c r="C842" t="s">
        <v>31</v>
      </c>
      <c r="D842" t="s">
        <v>35</v>
      </c>
      <c r="E842" t="s">
        <v>25</v>
      </c>
      <c r="F842" t="s">
        <v>39</v>
      </c>
      <c r="G842">
        <v>330</v>
      </c>
      <c r="H842">
        <v>245</v>
      </c>
      <c r="I842">
        <v>12954.51907</v>
      </c>
      <c r="J842" t="b">
        <v>1</v>
      </c>
      <c r="K842">
        <v>1</v>
      </c>
      <c r="L842" t="b">
        <v>0</v>
      </c>
      <c r="M842">
        <v>35516.340369999998</v>
      </c>
      <c r="N842">
        <v>1231.5</v>
      </c>
      <c r="O842">
        <v>6093</v>
      </c>
      <c r="P842" t="s">
        <v>36</v>
      </c>
      <c r="Q842">
        <v>0.2679658952496955</v>
      </c>
      <c r="R842" t="s">
        <v>40</v>
      </c>
      <c r="S842">
        <v>39.256118393939396</v>
      </c>
      <c r="T842">
        <v>0.20211718365337272</v>
      </c>
      <c r="U842" t="s">
        <v>34</v>
      </c>
      <c r="V842">
        <v>0</v>
      </c>
    </row>
    <row r="843" spans="1:22" x14ac:dyDescent="0.3">
      <c r="A843" s="1">
        <v>45285</v>
      </c>
      <c r="B843" t="s">
        <v>22</v>
      </c>
      <c r="C843" t="s">
        <v>31</v>
      </c>
      <c r="D843" t="s">
        <v>46</v>
      </c>
      <c r="E843" t="s">
        <v>45</v>
      </c>
      <c r="F843" t="s">
        <v>26</v>
      </c>
      <c r="G843">
        <v>709</v>
      </c>
      <c r="H843">
        <v>2218</v>
      </c>
      <c r="I843">
        <v>9706.4810870000001</v>
      </c>
      <c r="J843" t="b">
        <v>1</v>
      </c>
      <c r="K843">
        <v>2</v>
      </c>
      <c r="L843" t="b">
        <v>0</v>
      </c>
      <c r="M843">
        <v>58595.608090000002</v>
      </c>
      <c r="N843">
        <v>2088</v>
      </c>
      <c r="O843">
        <v>9820</v>
      </c>
      <c r="P843" t="s">
        <v>27</v>
      </c>
      <c r="Q843">
        <v>0.33955938697318006</v>
      </c>
      <c r="R843" t="s">
        <v>40</v>
      </c>
      <c r="S843">
        <v>13.690382351198872</v>
      </c>
      <c r="T843">
        <v>0.21262729124236251</v>
      </c>
      <c r="U843" t="s">
        <v>34</v>
      </c>
      <c r="V843">
        <v>0</v>
      </c>
    </row>
    <row r="844" spans="1:22" x14ac:dyDescent="0.3">
      <c r="A844" s="1">
        <v>45284</v>
      </c>
      <c r="B844" t="s">
        <v>42</v>
      </c>
      <c r="C844" t="s">
        <v>31</v>
      </c>
      <c r="D844" t="s">
        <v>32</v>
      </c>
      <c r="E844" t="s">
        <v>33</v>
      </c>
      <c r="F844" t="s">
        <v>43</v>
      </c>
      <c r="G844">
        <v>334</v>
      </c>
      <c r="H844">
        <v>1958</v>
      </c>
      <c r="I844">
        <v>998.84652259999996</v>
      </c>
      <c r="J844" t="b">
        <v>1</v>
      </c>
      <c r="K844">
        <v>11</v>
      </c>
      <c r="L844" t="b">
        <v>0</v>
      </c>
      <c r="M844">
        <v>25466.798169999998</v>
      </c>
      <c r="N844">
        <v>2918.5</v>
      </c>
      <c r="O844">
        <v>5202</v>
      </c>
      <c r="P844" t="s">
        <v>36</v>
      </c>
      <c r="Q844">
        <v>0.1144423505225287</v>
      </c>
      <c r="R844" t="s">
        <v>28</v>
      </c>
      <c r="S844">
        <v>2.9905584508982033</v>
      </c>
      <c r="T844">
        <v>0.56103421760861205</v>
      </c>
      <c r="U844" t="s">
        <v>29</v>
      </c>
      <c r="V844">
        <v>0</v>
      </c>
    </row>
    <row r="845" spans="1:22" x14ac:dyDescent="0.3">
      <c r="A845" s="1">
        <v>45283</v>
      </c>
      <c r="B845" t="s">
        <v>38</v>
      </c>
      <c r="C845" t="s">
        <v>44</v>
      </c>
      <c r="D845" t="s">
        <v>24</v>
      </c>
      <c r="E845" t="s">
        <v>33</v>
      </c>
      <c r="F845" t="s">
        <v>43</v>
      </c>
      <c r="G845">
        <v>360</v>
      </c>
      <c r="H845">
        <v>3879</v>
      </c>
      <c r="I845">
        <v>4848.1768920000004</v>
      </c>
      <c r="J845" t="b">
        <v>1</v>
      </c>
      <c r="K845">
        <v>2</v>
      </c>
      <c r="L845" t="b">
        <v>0</v>
      </c>
      <c r="M845">
        <v>49336.246630000001</v>
      </c>
      <c r="N845">
        <v>2402</v>
      </c>
      <c r="O845">
        <v>6134</v>
      </c>
      <c r="P845" t="s">
        <v>27</v>
      </c>
      <c r="Q845">
        <v>0.1498751040799334</v>
      </c>
      <c r="R845" t="s">
        <v>40</v>
      </c>
      <c r="S845">
        <v>13.467158033333334</v>
      </c>
      <c r="T845">
        <v>0.39158787088359959</v>
      </c>
      <c r="U845" t="s">
        <v>34</v>
      </c>
      <c r="V845">
        <v>0</v>
      </c>
    </row>
    <row r="846" spans="1:22" x14ac:dyDescent="0.3">
      <c r="A846" s="1">
        <v>45282</v>
      </c>
      <c r="B846" t="s">
        <v>30</v>
      </c>
      <c r="C846" t="s">
        <v>41</v>
      </c>
      <c r="D846" t="s">
        <v>35</v>
      </c>
      <c r="E846" t="s">
        <v>25</v>
      </c>
      <c r="F846" t="s">
        <v>43</v>
      </c>
      <c r="G846">
        <v>76</v>
      </c>
      <c r="H846">
        <v>925</v>
      </c>
      <c r="I846">
        <v>8942.4430080000002</v>
      </c>
      <c r="J846" t="b">
        <v>1</v>
      </c>
      <c r="K846">
        <v>23</v>
      </c>
      <c r="L846" t="b">
        <v>0</v>
      </c>
      <c r="M846">
        <v>2995.4670179999998</v>
      </c>
      <c r="N846">
        <v>1917</v>
      </c>
      <c r="O846">
        <v>5741</v>
      </c>
      <c r="P846" t="s">
        <v>36</v>
      </c>
      <c r="Q846">
        <v>3.9645279081898799E-2</v>
      </c>
      <c r="R846" t="s">
        <v>37</v>
      </c>
      <c r="S846">
        <v>117.66372378947369</v>
      </c>
      <c r="T846">
        <v>0.33391395227312315</v>
      </c>
      <c r="U846" t="s">
        <v>34</v>
      </c>
      <c r="V846">
        <v>0</v>
      </c>
    </row>
    <row r="847" spans="1:22" x14ac:dyDescent="0.3">
      <c r="A847" s="1">
        <v>45281</v>
      </c>
      <c r="B847" t="s">
        <v>42</v>
      </c>
      <c r="C847" t="s">
        <v>23</v>
      </c>
      <c r="D847" t="s">
        <v>32</v>
      </c>
      <c r="E847" t="s">
        <v>25</v>
      </c>
      <c r="F847" t="s">
        <v>39</v>
      </c>
      <c r="G847">
        <v>214</v>
      </c>
      <c r="H847">
        <v>2909</v>
      </c>
      <c r="I847">
        <v>2353.2717429999998</v>
      </c>
      <c r="J847" t="b">
        <v>1</v>
      </c>
      <c r="K847">
        <v>26</v>
      </c>
      <c r="L847" t="b">
        <v>0</v>
      </c>
      <c r="M847">
        <v>6710.4071190000004</v>
      </c>
      <c r="N847">
        <v>1753.5</v>
      </c>
      <c r="O847">
        <v>5569</v>
      </c>
      <c r="P847" t="s">
        <v>27</v>
      </c>
      <c r="Q847">
        <v>0.12204163102366695</v>
      </c>
      <c r="R847" t="s">
        <v>37</v>
      </c>
      <c r="S847">
        <v>10.996596929906541</v>
      </c>
      <c r="T847">
        <v>0.3148680193930688</v>
      </c>
      <c r="U847" t="s">
        <v>34</v>
      </c>
      <c r="V847">
        <v>0</v>
      </c>
    </row>
    <row r="848" spans="1:22" x14ac:dyDescent="0.3">
      <c r="A848" s="1">
        <v>45280</v>
      </c>
      <c r="B848" t="s">
        <v>42</v>
      </c>
      <c r="C848" t="s">
        <v>23</v>
      </c>
      <c r="D848" t="s">
        <v>46</v>
      </c>
      <c r="E848" t="s">
        <v>25</v>
      </c>
      <c r="F848" t="s">
        <v>26</v>
      </c>
      <c r="G848">
        <v>113</v>
      </c>
      <c r="H848">
        <v>598</v>
      </c>
      <c r="I848">
        <v>7750.4917759999998</v>
      </c>
      <c r="J848" t="b">
        <v>1</v>
      </c>
      <c r="K848">
        <v>20</v>
      </c>
      <c r="L848" t="b">
        <v>1</v>
      </c>
      <c r="M848">
        <v>14831.00843</v>
      </c>
      <c r="N848">
        <v>1975.5</v>
      </c>
      <c r="O848">
        <v>7183</v>
      </c>
      <c r="P848" t="s">
        <v>36</v>
      </c>
      <c r="Q848">
        <v>5.7200708681346496E-2</v>
      </c>
      <c r="R848" t="s">
        <v>37</v>
      </c>
      <c r="S848">
        <v>68.588422796460179</v>
      </c>
      <c r="T848">
        <v>0.27502436307949324</v>
      </c>
      <c r="U848" t="s">
        <v>34</v>
      </c>
      <c r="V848">
        <v>1</v>
      </c>
    </row>
    <row r="849" spans="1:22" x14ac:dyDescent="0.3">
      <c r="A849" s="1">
        <v>45279</v>
      </c>
      <c r="B849" t="s">
        <v>22</v>
      </c>
      <c r="C849" t="s">
        <v>31</v>
      </c>
      <c r="D849" t="s">
        <v>35</v>
      </c>
      <c r="E849" t="s">
        <v>25</v>
      </c>
      <c r="F849" t="s">
        <v>26</v>
      </c>
      <c r="G849">
        <v>70</v>
      </c>
      <c r="H849">
        <v>3353</v>
      </c>
      <c r="I849">
        <v>11416.28839</v>
      </c>
      <c r="J849" t="b">
        <v>1</v>
      </c>
      <c r="K849">
        <v>17</v>
      </c>
      <c r="L849" t="b">
        <v>1</v>
      </c>
      <c r="M849">
        <v>1613.0636469999999</v>
      </c>
      <c r="N849">
        <v>2185.5</v>
      </c>
      <c r="O849">
        <v>5796</v>
      </c>
      <c r="P849" t="s">
        <v>27</v>
      </c>
      <c r="Q849">
        <v>3.2029283916723862E-2</v>
      </c>
      <c r="R849" t="s">
        <v>37</v>
      </c>
      <c r="S849">
        <v>163.08983414285714</v>
      </c>
      <c r="T849">
        <v>0.37707039337474119</v>
      </c>
      <c r="U849" t="s">
        <v>34</v>
      </c>
      <c r="V849">
        <v>1</v>
      </c>
    </row>
    <row r="850" spans="1:22" x14ac:dyDescent="0.3">
      <c r="A850" s="1">
        <v>45278</v>
      </c>
      <c r="B850" t="s">
        <v>22</v>
      </c>
      <c r="C850" t="s">
        <v>41</v>
      </c>
      <c r="D850" t="s">
        <v>24</v>
      </c>
      <c r="E850" t="s">
        <v>45</v>
      </c>
      <c r="F850" t="s">
        <v>26</v>
      </c>
      <c r="G850">
        <v>667</v>
      </c>
      <c r="H850">
        <v>1018</v>
      </c>
      <c r="I850">
        <v>5731.6915150000004</v>
      </c>
      <c r="J850" t="b">
        <v>1</v>
      </c>
      <c r="K850">
        <v>16</v>
      </c>
      <c r="L850" t="b">
        <v>0</v>
      </c>
      <c r="M850">
        <v>63299.192439999999</v>
      </c>
      <c r="N850">
        <v>771.5</v>
      </c>
      <c r="O850">
        <v>5188</v>
      </c>
      <c r="P850" t="s">
        <v>27</v>
      </c>
      <c r="Q850">
        <v>0.86454957874270899</v>
      </c>
      <c r="R850" t="s">
        <v>37</v>
      </c>
      <c r="S850">
        <v>8.5932406521739129</v>
      </c>
      <c r="T850">
        <v>0.14870855821125675</v>
      </c>
      <c r="U850" t="s">
        <v>34</v>
      </c>
      <c r="V850">
        <v>0</v>
      </c>
    </row>
    <row r="851" spans="1:22" x14ac:dyDescent="0.3">
      <c r="A851" s="1">
        <v>45277</v>
      </c>
      <c r="B851" t="s">
        <v>42</v>
      </c>
      <c r="C851" t="s">
        <v>41</v>
      </c>
      <c r="D851" t="s">
        <v>32</v>
      </c>
      <c r="E851" t="s">
        <v>33</v>
      </c>
      <c r="F851" t="s">
        <v>43</v>
      </c>
      <c r="G851">
        <v>510</v>
      </c>
      <c r="H851">
        <v>525</v>
      </c>
      <c r="I851">
        <v>14764.15799</v>
      </c>
      <c r="J851" t="b">
        <v>1</v>
      </c>
      <c r="K851">
        <v>17</v>
      </c>
      <c r="L851" t="b">
        <v>0</v>
      </c>
      <c r="M851">
        <v>80604.075440000001</v>
      </c>
      <c r="N851">
        <v>2454.5</v>
      </c>
      <c r="O851">
        <v>7281</v>
      </c>
      <c r="P851" t="s">
        <v>36</v>
      </c>
      <c r="Q851">
        <v>0.20778162558565899</v>
      </c>
      <c r="R851" t="s">
        <v>37</v>
      </c>
      <c r="S851">
        <v>28.949329392156862</v>
      </c>
      <c r="T851">
        <v>0.33711028704848234</v>
      </c>
      <c r="U851" t="s">
        <v>34</v>
      </c>
      <c r="V851">
        <v>0</v>
      </c>
    </row>
    <row r="852" spans="1:22" x14ac:dyDescent="0.3">
      <c r="A852" s="1">
        <v>45276</v>
      </c>
      <c r="B852" t="s">
        <v>30</v>
      </c>
      <c r="C852" t="s">
        <v>23</v>
      </c>
      <c r="D852" t="s">
        <v>46</v>
      </c>
      <c r="E852" t="s">
        <v>45</v>
      </c>
      <c r="F852" t="s">
        <v>26</v>
      </c>
      <c r="G852">
        <v>836</v>
      </c>
      <c r="H852">
        <v>4384</v>
      </c>
      <c r="I852">
        <v>9361.552087</v>
      </c>
      <c r="J852" t="b">
        <v>1</v>
      </c>
      <c r="K852">
        <v>7</v>
      </c>
      <c r="L852" t="b">
        <v>0</v>
      </c>
      <c r="M852">
        <v>124913.9877</v>
      </c>
      <c r="N852">
        <v>2389</v>
      </c>
      <c r="O852">
        <v>8760</v>
      </c>
      <c r="P852" t="s">
        <v>27</v>
      </c>
      <c r="Q852">
        <v>0.34993721222268731</v>
      </c>
      <c r="R852" t="s">
        <v>40</v>
      </c>
      <c r="S852">
        <v>11.198028812200956</v>
      </c>
      <c r="T852">
        <v>0.27271689497716894</v>
      </c>
      <c r="U852" t="s">
        <v>34</v>
      </c>
      <c r="V852">
        <v>0</v>
      </c>
    </row>
    <row r="853" spans="1:22" x14ac:dyDescent="0.3">
      <c r="A853" s="1">
        <v>45275</v>
      </c>
      <c r="B853" t="s">
        <v>42</v>
      </c>
      <c r="C853" t="s">
        <v>41</v>
      </c>
      <c r="D853" t="s">
        <v>46</v>
      </c>
      <c r="E853" t="s">
        <v>25</v>
      </c>
      <c r="F853" t="s">
        <v>43</v>
      </c>
      <c r="G853">
        <v>485</v>
      </c>
      <c r="H853">
        <v>394</v>
      </c>
      <c r="I853">
        <v>1416.154904</v>
      </c>
      <c r="J853" t="b">
        <v>1</v>
      </c>
      <c r="K853">
        <v>27</v>
      </c>
      <c r="L853" t="b">
        <v>0</v>
      </c>
      <c r="M853">
        <v>40081.565779999997</v>
      </c>
      <c r="N853">
        <v>332</v>
      </c>
      <c r="O853">
        <v>8604</v>
      </c>
      <c r="P853" t="s">
        <v>27</v>
      </c>
      <c r="Q853">
        <v>1.4608433734939759</v>
      </c>
      <c r="R853" t="s">
        <v>37</v>
      </c>
      <c r="S853">
        <v>2.9199070185567009</v>
      </c>
      <c r="T853">
        <v>3.8586703858670385E-2</v>
      </c>
      <c r="U853" t="s">
        <v>34</v>
      </c>
      <c r="V853">
        <v>0</v>
      </c>
    </row>
    <row r="854" spans="1:22" x14ac:dyDescent="0.3">
      <c r="A854" s="1">
        <v>45274</v>
      </c>
      <c r="B854" t="s">
        <v>42</v>
      </c>
      <c r="C854" t="s">
        <v>31</v>
      </c>
      <c r="D854" t="s">
        <v>24</v>
      </c>
      <c r="E854" t="s">
        <v>33</v>
      </c>
      <c r="F854" t="s">
        <v>43</v>
      </c>
      <c r="G854">
        <v>991</v>
      </c>
      <c r="H854">
        <v>270</v>
      </c>
      <c r="I854">
        <v>7505.4523609999997</v>
      </c>
      <c r="J854" t="b">
        <v>1</v>
      </c>
      <c r="K854">
        <v>2</v>
      </c>
      <c r="L854" t="b">
        <v>0</v>
      </c>
      <c r="M854">
        <v>23596.72624</v>
      </c>
      <c r="N854">
        <v>299</v>
      </c>
      <c r="O854">
        <v>8465</v>
      </c>
      <c r="P854" t="s">
        <v>36</v>
      </c>
      <c r="Q854">
        <v>3.3143812709030098</v>
      </c>
      <c r="R854" t="s">
        <v>40</v>
      </c>
      <c r="S854">
        <v>7.5736148950554991</v>
      </c>
      <c r="T854">
        <v>3.5321913762551685E-2</v>
      </c>
      <c r="U854" t="s">
        <v>34</v>
      </c>
      <c r="V854">
        <v>0</v>
      </c>
    </row>
    <row r="855" spans="1:22" x14ac:dyDescent="0.3">
      <c r="A855" s="1">
        <v>45273</v>
      </c>
      <c r="B855" t="s">
        <v>30</v>
      </c>
      <c r="C855" t="s">
        <v>23</v>
      </c>
      <c r="D855" t="s">
        <v>24</v>
      </c>
      <c r="E855" t="s">
        <v>45</v>
      </c>
      <c r="F855" t="s">
        <v>26</v>
      </c>
      <c r="G855">
        <v>480</v>
      </c>
      <c r="H855">
        <v>328</v>
      </c>
      <c r="I855">
        <v>4935.474792</v>
      </c>
      <c r="J855" t="b">
        <v>1</v>
      </c>
      <c r="K855">
        <v>9</v>
      </c>
      <c r="L855" t="b">
        <v>0</v>
      </c>
      <c r="M855">
        <v>88122.396280000001</v>
      </c>
      <c r="N855">
        <v>1724</v>
      </c>
      <c r="O855">
        <v>5069</v>
      </c>
      <c r="P855" t="s">
        <v>36</v>
      </c>
      <c r="Q855">
        <v>0.27842227378190254</v>
      </c>
      <c r="R855" t="s">
        <v>28</v>
      </c>
      <c r="S855">
        <v>10.282239150000001</v>
      </c>
      <c r="T855">
        <v>0.3401065298875518</v>
      </c>
      <c r="U855" t="s">
        <v>34</v>
      </c>
      <c r="V855">
        <v>0</v>
      </c>
    </row>
    <row r="856" spans="1:22" x14ac:dyDescent="0.3">
      <c r="A856" s="1">
        <v>45272</v>
      </c>
      <c r="B856" t="s">
        <v>30</v>
      </c>
      <c r="C856" t="s">
        <v>23</v>
      </c>
      <c r="D856" t="s">
        <v>46</v>
      </c>
      <c r="E856" t="s">
        <v>25</v>
      </c>
      <c r="F856" t="s">
        <v>39</v>
      </c>
      <c r="G856">
        <v>277</v>
      </c>
      <c r="H856">
        <v>3120</v>
      </c>
      <c r="I856">
        <v>4033.7690729999999</v>
      </c>
      <c r="J856" t="b">
        <v>1</v>
      </c>
      <c r="K856">
        <v>24</v>
      </c>
      <c r="L856" t="b">
        <v>0</v>
      </c>
      <c r="M856">
        <v>18465.71315</v>
      </c>
      <c r="N856">
        <v>2980.5</v>
      </c>
      <c r="O856">
        <v>5656</v>
      </c>
      <c r="P856" t="s">
        <v>27</v>
      </c>
      <c r="Q856">
        <v>9.2937426606274118E-2</v>
      </c>
      <c r="R856" t="s">
        <v>37</v>
      </c>
      <c r="S856">
        <v>14.562343223826714</v>
      </c>
      <c r="T856">
        <v>0.52696251768033942</v>
      </c>
      <c r="U856" t="s">
        <v>29</v>
      </c>
      <c r="V856">
        <v>0</v>
      </c>
    </row>
    <row r="857" spans="1:22" x14ac:dyDescent="0.3">
      <c r="A857" s="1">
        <v>45271</v>
      </c>
      <c r="B857" t="s">
        <v>30</v>
      </c>
      <c r="C857" t="s">
        <v>23</v>
      </c>
      <c r="D857" t="s">
        <v>24</v>
      </c>
      <c r="E857" t="s">
        <v>33</v>
      </c>
      <c r="F857" t="s">
        <v>26</v>
      </c>
      <c r="G857">
        <v>960</v>
      </c>
      <c r="H857">
        <v>2841</v>
      </c>
      <c r="I857">
        <v>11904.332850000001</v>
      </c>
      <c r="J857" t="b">
        <v>1</v>
      </c>
      <c r="K857">
        <v>5</v>
      </c>
      <c r="L857" t="b">
        <v>0</v>
      </c>
      <c r="M857">
        <v>119128.2727</v>
      </c>
      <c r="N857">
        <v>3226</v>
      </c>
      <c r="O857">
        <v>7833</v>
      </c>
      <c r="P857" t="s">
        <v>36</v>
      </c>
      <c r="Q857">
        <v>0.29758214507129571</v>
      </c>
      <c r="R857" t="s">
        <v>40</v>
      </c>
      <c r="S857">
        <v>12.400346718750001</v>
      </c>
      <c r="T857">
        <v>0.41184731265160218</v>
      </c>
      <c r="U857" t="s">
        <v>29</v>
      </c>
      <c r="V857">
        <v>0</v>
      </c>
    </row>
    <row r="858" spans="1:22" x14ac:dyDescent="0.3">
      <c r="A858" s="1">
        <v>45270</v>
      </c>
      <c r="B858" t="s">
        <v>38</v>
      </c>
      <c r="C858" t="s">
        <v>41</v>
      </c>
      <c r="D858" t="s">
        <v>24</v>
      </c>
      <c r="E858" t="s">
        <v>25</v>
      </c>
      <c r="F858" t="s">
        <v>43</v>
      </c>
      <c r="G858">
        <v>244</v>
      </c>
      <c r="H858">
        <v>3611</v>
      </c>
      <c r="I858">
        <v>11048.41763</v>
      </c>
      <c r="J858" t="b">
        <v>0</v>
      </c>
      <c r="K858">
        <v>21</v>
      </c>
      <c r="L858" t="b">
        <v>0</v>
      </c>
      <c r="M858">
        <v>32682.629529999998</v>
      </c>
      <c r="N858">
        <v>2395</v>
      </c>
      <c r="O858">
        <v>7188</v>
      </c>
      <c r="P858" t="s">
        <v>27</v>
      </c>
      <c r="Q858">
        <v>0.10187891440501044</v>
      </c>
      <c r="R858" t="s">
        <v>37</v>
      </c>
      <c r="S858">
        <v>45.280400122950816</v>
      </c>
      <c r="T858">
        <v>0.33319421257651644</v>
      </c>
      <c r="U858" t="s">
        <v>34</v>
      </c>
      <c r="V858">
        <v>0</v>
      </c>
    </row>
    <row r="859" spans="1:22" x14ac:dyDescent="0.3">
      <c r="A859" s="1">
        <v>45269</v>
      </c>
      <c r="B859" t="s">
        <v>30</v>
      </c>
      <c r="C859" t="s">
        <v>23</v>
      </c>
      <c r="D859" t="s">
        <v>35</v>
      </c>
      <c r="E859" t="s">
        <v>25</v>
      </c>
      <c r="F859" t="s">
        <v>26</v>
      </c>
      <c r="G859">
        <v>846</v>
      </c>
      <c r="H859">
        <v>1179</v>
      </c>
      <c r="I859">
        <v>10040.267540000001</v>
      </c>
      <c r="J859" t="b">
        <v>1</v>
      </c>
      <c r="K859">
        <v>27</v>
      </c>
      <c r="L859" t="b">
        <v>0</v>
      </c>
      <c r="M859">
        <v>96582.253589999993</v>
      </c>
      <c r="N859">
        <v>2923</v>
      </c>
      <c r="O859">
        <v>7813</v>
      </c>
      <c r="P859" t="s">
        <v>36</v>
      </c>
      <c r="Q859">
        <v>0.28942866917550464</v>
      </c>
      <c r="R859" t="s">
        <v>37</v>
      </c>
      <c r="S859">
        <v>11.867928534278962</v>
      </c>
      <c r="T859">
        <v>0.37412005631639578</v>
      </c>
      <c r="U859" t="s">
        <v>34</v>
      </c>
      <c r="V859">
        <v>0</v>
      </c>
    </row>
    <row r="860" spans="1:22" x14ac:dyDescent="0.3">
      <c r="A860" s="1">
        <v>45268</v>
      </c>
      <c r="B860" t="s">
        <v>42</v>
      </c>
      <c r="C860" t="s">
        <v>31</v>
      </c>
      <c r="D860" t="s">
        <v>46</v>
      </c>
      <c r="E860" t="s">
        <v>25</v>
      </c>
      <c r="F860" t="s">
        <v>43</v>
      </c>
      <c r="G860">
        <v>342</v>
      </c>
      <c r="H860">
        <v>4667</v>
      </c>
      <c r="I860">
        <v>2582.509982</v>
      </c>
      <c r="J860" t="b">
        <v>1</v>
      </c>
      <c r="K860">
        <v>15</v>
      </c>
      <c r="L860" t="b">
        <v>0</v>
      </c>
      <c r="M860">
        <v>14781.497009999999</v>
      </c>
      <c r="N860">
        <v>3844</v>
      </c>
      <c r="O860">
        <v>5035</v>
      </c>
      <c r="P860" t="s">
        <v>27</v>
      </c>
      <c r="Q860">
        <v>8.8969823100936526E-2</v>
      </c>
      <c r="R860" t="s">
        <v>37</v>
      </c>
      <c r="S860">
        <v>7.5511987777777776</v>
      </c>
      <c r="T860">
        <v>0.7634558093346574</v>
      </c>
      <c r="U860" t="s">
        <v>29</v>
      </c>
      <c r="V860">
        <v>0</v>
      </c>
    </row>
    <row r="861" spans="1:22" x14ac:dyDescent="0.3">
      <c r="A861" s="1">
        <v>45267</v>
      </c>
      <c r="B861" t="s">
        <v>30</v>
      </c>
      <c r="C861" t="s">
        <v>31</v>
      </c>
      <c r="D861" t="s">
        <v>46</v>
      </c>
      <c r="E861" t="s">
        <v>25</v>
      </c>
      <c r="F861" t="s">
        <v>39</v>
      </c>
      <c r="G861">
        <v>430</v>
      </c>
      <c r="H861">
        <v>3021</v>
      </c>
      <c r="I861">
        <v>768.7028871</v>
      </c>
      <c r="J861" t="b">
        <v>1</v>
      </c>
      <c r="K861">
        <v>4</v>
      </c>
      <c r="L861" t="b">
        <v>0</v>
      </c>
      <c r="M861">
        <v>34684.016049999998</v>
      </c>
      <c r="N861">
        <v>4009</v>
      </c>
      <c r="O861">
        <v>9876</v>
      </c>
      <c r="P861" t="s">
        <v>36</v>
      </c>
      <c r="Q861">
        <v>0.10725866799700673</v>
      </c>
      <c r="R861" t="s">
        <v>40</v>
      </c>
      <c r="S861">
        <v>1.7876811327906976</v>
      </c>
      <c r="T861">
        <v>0.40593357634669908</v>
      </c>
      <c r="U861" t="s">
        <v>29</v>
      </c>
      <c r="V861">
        <v>0</v>
      </c>
    </row>
    <row r="862" spans="1:22" x14ac:dyDescent="0.3">
      <c r="A862" s="1">
        <v>45266</v>
      </c>
      <c r="B862" t="s">
        <v>42</v>
      </c>
      <c r="C862" t="s">
        <v>41</v>
      </c>
      <c r="D862" t="s">
        <v>46</v>
      </c>
      <c r="E862" t="s">
        <v>25</v>
      </c>
      <c r="F862" t="s">
        <v>26</v>
      </c>
      <c r="G862">
        <v>173</v>
      </c>
      <c r="H862">
        <v>4997</v>
      </c>
      <c r="I862">
        <v>1288.0474260000001</v>
      </c>
      <c r="J862" t="b">
        <v>1</v>
      </c>
      <c r="K862">
        <v>20</v>
      </c>
      <c r="L862" t="b">
        <v>1</v>
      </c>
      <c r="M862">
        <v>6161.3254889999998</v>
      </c>
      <c r="N862">
        <v>3731</v>
      </c>
      <c r="O862">
        <v>6383</v>
      </c>
      <c r="P862" t="s">
        <v>27</v>
      </c>
      <c r="Q862">
        <v>4.6368265880461002E-2</v>
      </c>
      <c r="R862" t="s">
        <v>37</v>
      </c>
      <c r="S862">
        <v>7.4453608439306365</v>
      </c>
      <c r="T862">
        <v>0.58452138492871686</v>
      </c>
      <c r="U862" t="s">
        <v>29</v>
      </c>
      <c r="V862">
        <v>1</v>
      </c>
    </row>
    <row r="863" spans="1:22" x14ac:dyDescent="0.3">
      <c r="A863" s="1">
        <v>45265</v>
      </c>
      <c r="B863" t="s">
        <v>42</v>
      </c>
      <c r="C863" t="s">
        <v>44</v>
      </c>
      <c r="D863" t="s">
        <v>32</v>
      </c>
      <c r="E863" t="s">
        <v>25</v>
      </c>
      <c r="F863" t="s">
        <v>26</v>
      </c>
      <c r="G863">
        <v>229</v>
      </c>
      <c r="H863">
        <v>2465</v>
      </c>
      <c r="I863">
        <v>2497.1444339999998</v>
      </c>
      <c r="J863" t="b">
        <v>1</v>
      </c>
      <c r="K863">
        <v>4</v>
      </c>
      <c r="L863" t="b">
        <v>0</v>
      </c>
      <c r="M863">
        <v>12501.360060000001</v>
      </c>
      <c r="N863">
        <v>3109</v>
      </c>
      <c r="O863">
        <v>7119</v>
      </c>
      <c r="P863" t="s">
        <v>36</v>
      </c>
      <c r="Q863">
        <v>7.3657124477323893E-2</v>
      </c>
      <c r="R863" t="s">
        <v>40</v>
      </c>
      <c r="S863">
        <v>10.904560847161571</v>
      </c>
      <c r="T863">
        <v>0.43671864025846324</v>
      </c>
      <c r="U863" t="s">
        <v>29</v>
      </c>
      <c r="V863">
        <v>0</v>
      </c>
    </row>
    <row r="864" spans="1:22" x14ac:dyDescent="0.3">
      <c r="A864" s="1">
        <v>45264</v>
      </c>
      <c r="B864" t="s">
        <v>30</v>
      </c>
      <c r="C864" t="s">
        <v>44</v>
      </c>
      <c r="D864" t="s">
        <v>46</v>
      </c>
      <c r="E864" t="s">
        <v>45</v>
      </c>
      <c r="F864" t="s">
        <v>26</v>
      </c>
      <c r="G864">
        <v>120</v>
      </c>
      <c r="H864">
        <v>3753</v>
      </c>
      <c r="I864">
        <v>13638.463470000001</v>
      </c>
      <c r="J864" t="b">
        <v>1</v>
      </c>
      <c r="K864">
        <v>23</v>
      </c>
      <c r="L864" t="b">
        <v>0</v>
      </c>
      <c r="M864">
        <v>23792.087680000001</v>
      </c>
      <c r="N864">
        <v>4088</v>
      </c>
      <c r="O864">
        <v>5749</v>
      </c>
      <c r="P864" t="s">
        <v>36</v>
      </c>
      <c r="Q864">
        <v>2.9354207436399216E-2</v>
      </c>
      <c r="R864" t="s">
        <v>37</v>
      </c>
      <c r="S864">
        <v>113.65386225</v>
      </c>
      <c r="T864">
        <v>0.71108018785875804</v>
      </c>
      <c r="U864" t="s">
        <v>29</v>
      </c>
      <c r="V864">
        <v>0</v>
      </c>
    </row>
    <row r="865" spans="1:22" x14ac:dyDescent="0.3">
      <c r="A865" s="1">
        <v>45263</v>
      </c>
      <c r="B865" t="s">
        <v>22</v>
      </c>
      <c r="C865" t="s">
        <v>41</v>
      </c>
      <c r="D865" t="s">
        <v>35</v>
      </c>
      <c r="E865" t="s">
        <v>45</v>
      </c>
      <c r="F865" t="s">
        <v>26</v>
      </c>
      <c r="G865">
        <v>831</v>
      </c>
      <c r="H865">
        <v>4423</v>
      </c>
      <c r="I865">
        <v>10779.98187</v>
      </c>
      <c r="J865" t="b">
        <v>1</v>
      </c>
      <c r="K865">
        <v>7</v>
      </c>
      <c r="L865" t="b">
        <v>0</v>
      </c>
      <c r="M865">
        <v>139036.66800000001</v>
      </c>
      <c r="N865">
        <v>4016.5</v>
      </c>
      <c r="O865">
        <v>6594</v>
      </c>
      <c r="P865" t="s">
        <v>27</v>
      </c>
      <c r="Q865">
        <v>0.20689655172413793</v>
      </c>
      <c r="R865" t="s">
        <v>40</v>
      </c>
      <c r="S865">
        <v>12.972300685920578</v>
      </c>
      <c r="T865">
        <v>0.60911434637549289</v>
      </c>
      <c r="U865" t="s">
        <v>29</v>
      </c>
      <c r="V865">
        <v>0</v>
      </c>
    </row>
    <row r="866" spans="1:22" x14ac:dyDescent="0.3">
      <c r="A866" s="1">
        <v>45262</v>
      </c>
      <c r="B866" t="s">
        <v>42</v>
      </c>
      <c r="C866" t="s">
        <v>44</v>
      </c>
      <c r="D866" t="s">
        <v>46</v>
      </c>
      <c r="E866" t="s">
        <v>25</v>
      </c>
      <c r="F866" t="s">
        <v>43</v>
      </c>
      <c r="G866">
        <v>449</v>
      </c>
      <c r="H866">
        <v>3610</v>
      </c>
      <c r="I866">
        <v>7961.1459599999998</v>
      </c>
      <c r="J866" t="b">
        <v>1</v>
      </c>
      <c r="K866">
        <v>28</v>
      </c>
      <c r="L866" t="b">
        <v>0</v>
      </c>
      <c r="M866">
        <v>81706.465519999998</v>
      </c>
      <c r="N866">
        <v>2419</v>
      </c>
      <c r="O866">
        <v>6625</v>
      </c>
      <c r="P866" t="s">
        <v>27</v>
      </c>
      <c r="Q866">
        <v>0.18561389003720546</v>
      </c>
      <c r="R866" t="s">
        <v>37</v>
      </c>
      <c r="S866">
        <v>17.730837327394209</v>
      </c>
      <c r="T866">
        <v>0.36513207547169813</v>
      </c>
      <c r="U866" t="s">
        <v>34</v>
      </c>
      <c r="V866">
        <v>0</v>
      </c>
    </row>
    <row r="867" spans="1:22" x14ac:dyDescent="0.3">
      <c r="A867" s="1">
        <v>45261</v>
      </c>
      <c r="B867" t="s">
        <v>38</v>
      </c>
      <c r="C867" t="s">
        <v>31</v>
      </c>
      <c r="D867" t="s">
        <v>32</v>
      </c>
      <c r="E867" t="s">
        <v>25</v>
      </c>
      <c r="F867" t="s">
        <v>43</v>
      </c>
      <c r="G867">
        <v>712</v>
      </c>
      <c r="H867">
        <v>1228</v>
      </c>
      <c r="I867">
        <v>6574.473747</v>
      </c>
      <c r="J867" t="b">
        <v>1</v>
      </c>
      <c r="K867">
        <v>22</v>
      </c>
      <c r="L867" t="b">
        <v>0</v>
      </c>
      <c r="M867">
        <v>109451.18150000001</v>
      </c>
      <c r="N867">
        <v>1740.5</v>
      </c>
      <c r="O867">
        <v>5711</v>
      </c>
      <c r="P867" t="s">
        <v>36</v>
      </c>
      <c r="Q867">
        <v>0.40907785119218615</v>
      </c>
      <c r="R867" t="s">
        <v>37</v>
      </c>
      <c r="S867">
        <v>9.23381144241573</v>
      </c>
      <c r="T867">
        <v>0.30476273857468045</v>
      </c>
      <c r="U867" t="s">
        <v>34</v>
      </c>
      <c r="V867">
        <v>0</v>
      </c>
    </row>
    <row r="868" spans="1:22" x14ac:dyDescent="0.3">
      <c r="A868" s="1">
        <v>45260</v>
      </c>
      <c r="B868" t="s">
        <v>30</v>
      </c>
      <c r="C868" t="s">
        <v>41</v>
      </c>
      <c r="D868" t="s">
        <v>32</v>
      </c>
      <c r="E868" t="s">
        <v>33</v>
      </c>
      <c r="F868" t="s">
        <v>26</v>
      </c>
      <c r="G868">
        <v>975</v>
      </c>
      <c r="H868">
        <v>2253</v>
      </c>
      <c r="I868">
        <v>6291.7680460000001</v>
      </c>
      <c r="J868" t="b">
        <v>1</v>
      </c>
      <c r="K868">
        <v>25</v>
      </c>
      <c r="L868" t="b">
        <v>0</v>
      </c>
      <c r="M868">
        <v>173479.22839999999</v>
      </c>
      <c r="N868">
        <v>2342</v>
      </c>
      <c r="O868">
        <v>6509</v>
      </c>
      <c r="P868" t="s">
        <v>36</v>
      </c>
      <c r="Q868">
        <v>0.41631084543125535</v>
      </c>
      <c r="R868" t="s">
        <v>37</v>
      </c>
      <c r="S868">
        <v>6.4530954317948721</v>
      </c>
      <c r="T868">
        <v>0.35980949454601319</v>
      </c>
      <c r="U868" t="s">
        <v>34</v>
      </c>
      <c r="V868">
        <v>0</v>
      </c>
    </row>
    <row r="869" spans="1:22" x14ac:dyDescent="0.3">
      <c r="A869" s="1">
        <v>45259</v>
      </c>
      <c r="B869" t="s">
        <v>42</v>
      </c>
      <c r="C869" t="s">
        <v>44</v>
      </c>
      <c r="D869" t="s">
        <v>32</v>
      </c>
      <c r="E869" t="s">
        <v>45</v>
      </c>
      <c r="F869" t="s">
        <v>26</v>
      </c>
      <c r="G869">
        <v>662</v>
      </c>
      <c r="H869">
        <v>2431</v>
      </c>
      <c r="I869">
        <v>1841.6640379999999</v>
      </c>
      <c r="J869" t="b">
        <v>1</v>
      </c>
      <c r="K869">
        <v>5</v>
      </c>
      <c r="L869" t="b">
        <v>0</v>
      </c>
      <c r="M869">
        <v>42228.420749999997</v>
      </c>
      <c r="N869">
        <v>2369.5</v>
      </c>
      <c r="O869">
        <v>5213</v>
      </c>
      <c r="P869" t="s">
        <v>27</v>
      </c>
      <c r="Q869">
        <v>0.2793838362523739</v>
      </c>
      <c r="R869" t="s">
        <v>40</v>
      </c>
      <c r="S869">
        <v>2.7819698459214499</v>
      </c>
      <c r="T869">
        <v>0.45453673508536352</v>
      </c>
      <c r="U869" t="s">
        <v>29</v>
      </c>
      <c r="V869">
        <v>0</v>
      </c>
    </row>
    <row r="870" spans="1:22" x14ac:dyDescent="0.3">
      <c r="A870" s="1">
        <v>45258</v>
      </c>
      <c r="B870" t="s">
        <v>22</v>
      </c>
      <c r="C870" t="s">
        <v>44</v>
      </c>
      <c r="D870" t="s">
        <v>46</v>
      </c>
      <c r="E870" t="s">
        <v>45</v>
      </c>
      <c r="F870" t="s">
        <v>26</v>
      </c>
      <c r="G870">
        <v>125</v>
      </c>
      <c r="H870">
        <v>2308</v>
      </c>
      <c r="I870">
        <v>4279.5939950000002</v>
      </c>
      <c r="J870" t="b">
        <v>1</v>
      </c>
      <c r="K870">
        <v>4</v>
      </c>
      <c r="L870" t="b">
        <v>0</v>
      </c>
      <c r="M870">
        <v>12687.28291</v>
      </c>
      <c r="N870">
        <v>1987.5</v>
      </c>
      <c r="O870">
        <v>9055</v>
      </c>
      <c r="P870" t="s">
        <v>27</v>
      </c>
      <c r="Q870">
        <v>6.2893081761006289E-2</v>
      </c>
      <c r="R870" t="s">
        <v>40</v>
      </c>
      <c r="S870">
        <v>34.236751959999999</v>
      </c>
      <c r="T870">
        <v>0.2194919933738266</v>
      </c>
      <c r="U870" t="s">
        <v>34</v>
      </c>
      <c r="V870">
        <v>0</v>
      </c>
    </row>
    <row r="871" spans="1:22" x14ac:dyDescent="0.3">
      <c r="A871" s="1">
        <v>45257</v>
      </c>
      <c r="B871" t="s">
        <v>22</v>
      </c>
      <c r="C871" t="s">
        <v>44</v>
      </c>
      <c r="D871" t="s">
        <v>35</v>
      </c>
      <c r="E871" t="s">
        <v>25</v>
      </c>
      <c r="F871" t="s">
        <v>26</v>
      </c>
      <c r="G871">
        <v>224</v>
      </c>
      <c r="H871">
        <v>1667</v>
      </c>
      <c r="I871">
        <v>3454.4545450000001</v>
      </c>
      <c r="J871" t="b">
        <v>1</v>
      </c>
      <c r="K871">
        <v>8</v>
      </c>
      <c r="L871" t="b">
        <v>0</v>
      </c>
      <c r="M871">
        <v>32816.53398</v>
      </c>
      <c r="N871">
        <v>1936.5</v>
      </c>
      <c r="O871">
        <v>5099</v>
      </c>
      <c r="P871" t="s">
        <v>36</v>
      </c>
      <c r="Q871">
        <v>0.11567260521559515</v>
      </c>
      <c r="R871" t="s">
        <v>28</v>
      </c>
      <c r="S871">
        <v>15.421672075892857</v>
      </c>
      <c r="T871">
        <v>0.37978034908805647</v>
      </c>
      <c r="U871" t="s">
        <v>34</v>
      </c>
      <c r="V871">
        <v>0</v>
      </c>
    </row>
    <row r="872" spans="1:22" x14ac:dyDescent="0.3">
      <c r="A872" s="1">
        <v>45256</v>
      </c>
      <c r="B872" t="s">
        <v>42</v>
      </c>
      <c r="C872" t="s">
        <v>23</v>
      </c>
      <c r="D872" t="s">
        <v>24</v>
      </c>
      <c r="E872" t="s">
        <v>33</v>
      </c>
      <c r="F872" t="s">
        <v>39</v>
      </c>
      <c r="G872">
        <v>910</v>
      </c>
      <c r="H872">
        <v>2206</v>
      </c>
      <c r="I872">
        <v>11835.07034</v>
      </c>
      <c r="J872" t="b">
        <v>1</v>
      </c>
      <c r="K872">
        <v>6</v>
      </c>
      <c r="L872" t="b">
        <v>0</v>
      </c>
      <c r="M872">
        <v>117877.9746</v>
      </c>
      <c r="N872">
        <v>2006</v>
      </c>
      <c r="O872">
        <v>8383</v>
      </c>
      <c r="P872" t="s">
        <v>27</v>
      </c>
      <c r="Q872">
        <v>0.45363908275174475</v>
      </c>
      <c r="R872" t="s">
        <v>40</v>
      </c>
      <c r="S872">
        <v>13.005571802197803</v>
      </c>
      <c r="T872">
        <v>0.23929380889896218</v>
      </c>
      <c r="U872" t="s">
        <v>34</v>
      </c>
      <c r="V872">
        <v>0</v>
      </c>
    </row>
    <row r="873" spans="1:22" x14ac:dyDescent="0.3">
      <c r="A873" s="1">
        <v>45255</v>
      </c>
      <c r="B873" t="s">
        <v>42</v>
      </c>
      <c r="C873" t="s">
        <v>44</v>
      </c>
      <c r="D873" t="s">
        <v>35</v>
      </c>
      <c r="E873" t="s">
        <v>25</v>
      </c>
      <c r="F873" t="s">
        <v>26</v>
      </c>
      <c r="G873">
        <v>679</v>
      </c>
      <c r="H873">
        <v>1806</v>
      </c>
      <c r="I873">
        <v>3591.4570050000002</v>
      </c>
      <c r="J873" t="b">
        <v>1</v>
      </c>
      <c r="K873">
        <v>19</v>
      </c>
      <c r="L873" t="b">
        <v>0</v>
      </c>
      <c r="M873">
        <v>28425.424299999999</v>
      </c>
      <c r="N873">
        <v>2529.5</v>
      </c>
      <c r="O873">
        <v>5856</v>
      </c>
      <c r="P873" t="s">
        <v>36</v>
      </c>
      <c r="Q873">
        <v>0.26843249654081835</v>
      </c>
      <c r="R873" t="s">
        <v>37</v>
      </c>
      <c r="S873">
        <v>5.289332849779087</v>
      </c>
      <c r="T873">
        <v>0.43195013661202186</v>
      </c>
      <c r="U873" t="s">
        <v>29</v>
      </c>
      <c r="V873">
        <v>0</v>
      </c>
    </row>
    <row r="874" spans="1:22" x14ac:dyDescent="0.3">
      <c r="A874" s="1">
        <v>45254</v>
      </c>
      <c r="B874" t="s">
        <v>30</v>
      </c>
      <c r="C874" t="s">
        <v>41</v>
      </c>
      <c r="D874" t="s">
        <v>24</v>
      </c>
      <c r="E874" t="s">
        <v>33</v>
      </c>
      <c r="F874" t="s">
        <v>43</v>
      </c>
      <c r="G874">
        <v>845</v>
      </c>
      <c r="H874">
        <v>3253</v>
      </c>
      <c r="I874">
        <v>8065.1345730000003</v>
      </c>
      <c r="J874" t="b">
        <v>1</v>
      </c>
      <c r="K874">
        <v>1</v>
      </c>
      <c r="L874" t="b">
        <v>0</v>
      </c>
      <c r="M874">
        <v>127592.9106</v>
      </c>
      <c r="N874">
        <v>2762.5</v>
      </c>
      <c r="O874">
        <v>5540</v>
      </c>
      <c r="P874" t="s">
        <v>27</v>
      </c>
      <c r="Q874">
        <v>0.30588235294117649</v>
      </c>
      <c r="R874" t="s">
        <v>40</v>
      </c>
      <c r="S874">
        <v>9.5445379562130181</v>
      </c>
      <c r="T874">
        <v>0.49864620938628157</v>
      </c>
      <c r="U874" t="s">
        <v>29</v>
      </c>
      <c r="V874">
        <v>0</v>
      </c>
    </row>
    <row r="875" spans="1:22" x14ac:dyDescent="0.3">
      <c r="A875" s="1">
        <v>45253</v>
      </c>
      <c r="B875" t="s">
        <v>30</v>
      </c>
      <c r="C875" t="s">
        <v>31</v>
      </c>
      <c r="D875" t="s">
        <v>32</v>
      </c>
      <c r="E875" t="s">
        <v>25</v>
      </c>
      <c r="F875" t="s">
        <v>26</v>
      </c>
      <c r="G875">
        <v>853</v>
      </c>
      <c r="H875">
        <v>2272</v>
      </c>
      <c r="I875">
        <v>11148.075510000001</v>
      </c>
      <c r="J875" t="b">
        <v>1</v>
      </c>
      <c r="K875">
        <v>28</v>
      </c>
      <c r="L875" t="b">
        <v>0</v>
      </c>
      <c r="M875">
        <v>99499.197560000001</v>
      </c>
      <c r="N875">
        <v>2851.5</v>
      </c>
      <c r="O875">
        <v>8659</v>
      </c>
      <c r="P875" t="s">
        <v>36</v>
      </c>
      <c r="Q875">
        <v>0.29914080308609503</v>
      </c>
      <c r="R875" t="s">
        <v>37</v>
      </c>
      <c r="S875">
        <v>13.069256166471279</v>
      </c>
      <c r="T875">
        <v>0.32931054394271858</v>
      </c>
      <c r="U875" t="s">
        <v>34</v>
      </c>
      <c r="V875">
        <v>0</v>
      </c>
    </row>
    <row r="876" spans="1:22" x14ac:dyDescent="0.3">
      <c r="A876" s="1">
        <v>45252</v>
      </c>
      <c r="B876" t="s">
        <v>38</v>
      </c>
      <c r="C876" t="s">
        <v>31</v>
      </c>
      <c r="D876" t="s">
        <v>46</v>
      </c>
      <c r="E876" t="s">
        <v>25</v>
      </c>
      <c r="F876" t="s">
        <v>43</v>
      </c>
      <c r="G876">
        <v>769</v>
      </c>
      <c r="H876">
        <v>3431</v>
      </c>
      <c r="I876">
        <v>1395.554601</v>
      </c>
      <c r="J876" t="b">
        <v>1</v>
      </c>
      <c r="K876">
        <v>13</v>
      </c>
      <c r="L876" t="b">
        <v>0</v>
      </c>
      <c r="M876">
        <v>142000.23499999999</v>
      </c>
      <c r="N876">
        <v>1873</v>
      </c>
      <c r="O876">
        <v>5257</v>
      </c>
      <c r="P876" t="s">
        <v>27</v>
      </c>
      <c r="Q876">
        <v>0.41057127602776294</v>
      </c>
      <c r="R876" t="s">
        <v>28</v>
      </c>
      <c r="S876">
        <v>1.8147654109232771</v>
      </c>
      <c r="T876">
        <v>0.35628685562107665</v>
      </c>
      <c r="U876" t="s">
        <v>34</v>
      </c>
      <c r="V876">
        <v>0</v>
      </c>
    </row>
    <row r="877" spans="1:22" x14ac:dyDescent="0.3">
      <c r="A877" s="1">
        <v>45251</v>
      </c>
      <c r="B877" t="s">
        <v>38</v>
      </c>
      <c r="C877" t="s">
        <v>41</v>
      </c>
      <c r="D877" t="s">
        <v>24</v>
      </c>
      <c r="E877" t="s">
        <v>33</v>
      </c>
      <c r="F877" t="s">
        <v>26</v>
      </c>
      <c r="G877">
        <v>139</v>
      </c>
      <c r="H877">
        <v>315</v>
      </c>
      <c r="I877">
        <v>5492.4664830000002</v>
      </c>
      <c r="J877" t="b">
        <v>1</v>
      </c>
      <c r="K877">
        <v>12</v>
      </c>
      <c r="L877" t="b">
        <v>0</v>
      </c>
      <c r="M877">
        <v>23326.429090000001</v>
      </c>
      <c r="N877">
        <v>463.5</v>
      </c>
      <c r="O877">
        <v>7419</v>
      </c>
      <c r="P877" t="s">
        <v>36</v>
      </c>
      <c r="Q877">
        <v>0.29989212513484359</v>
      </c>
      <c r="R877" t="s">
        <v>28</v>
      </c>
      <c r="S877">
        <v>39.514147359712233</v>
      </c>
      <c r="T877">
        <v>6.2474727052163365E-2</v>
      </c>
      <c r="U877" t="s">
        <v>34</v>
      </c>
      <c r="V877">
        <v>0</v>
      </c>
    </row>
    <row r="878" spans="1:22" x14ac:dyDescent="0.3">
      <c r="A878" s="1">
        <v>45250</v>
      </c>
      <c r="B878" t="s">
        <v>38</v>
      </c>
      <c r="C878" t="s">
        <v>41</v>
      </c>
      <c r="D878" t="s">
        <v>35</v>
      </c>
      <c r="E878" t="s">
        <v>33</v>
      </c>
      <c r="F878" t="s">
        <v>26</v>
      </c>
      <c r="G878">
        <v>886</v>
      </c>
      <c r="H878">
        <v>612</v>
      </c>
      <c r="I878">
        <v>14833.11203</v>
      </c>
      <c r="J878" t="b">
        <v>1</v>
      </c>
      <c r="K878">
        <v>25</v>
      </c>
      <c r="L878" t="b">
        <v>0</v>
      </c>
      <c r="M878">
        <v>47658.873480000002</v>
      </c>
      <c r="N878">
        <v>1543</v>
      </c>
      <c r="O878">
        <v>6605</v>
      </c>
      <c r="P878" t="s">
        <v>36</v>
      </c>
      <c r="Q878">
        <v>0.57420609202851591</v>
      </c>
      <c r="R878" t="s">
        <v>37</v>
      </c>
      <c r="S878">
        <v>16.741661433408577</v>
      </c>
      <c r="T878">
        <v>0.2336109008327025</v>
      </c>
      <c r="U878" t="s">
        <v>34</v>
      </c>
      <c r="V878">
        <v>0</v>
      </c>
    </row>
    <row r="879" spans="1:22" x14ac:dyDescent="0.3">
      <c r="A879" s="1">
        <v>45249</v>
      </c>
      <c r="B879" t="s">
        <v>42</v>
      </c>
      <c r="C879" t="s">
        <v>41</v>
      </c>
      <c r="D879" t="s">
        <v>32</v>
      </c>
      <c r="E879" t="s">
        <v>33</v>
      </c>
      <c r="F879" t="s">
        <v>26</v>
      </c>
      <c r="G879">
        <v>569</v>
      </c>
      <c r="H879">
        <v>2474</v>
      </c>
      <c r="I879">
        <v>9637.5387310000006</v>
      </c>
      <c r="J879" t="b">
        <v>1</v>
      </c>
      <c r="K879">
        <v>25</v>
      </c>
      <c r="L879" t="b">
        <v>0</v>
      </c>
      <c r="M879">
        <v>46306.970679999999</v>
      </c>
      <c r="N879">
        <v>2103</v>
      </c>
      <c r="O879">
        <v>5035</v>
      </c>
      <c r="P879" t="s">
        <v>27</v>
      </c>
      <c r="Q879">
        <v>0.27056585829766999</v>
      </c>
      <c r="R879" t="s">
        <v>37</v>
      </c>
      <c r="S879">
        <v>16.937677910369068</v>
      </c>
      <c r="T879">
        <v>0.41767626613704073</v>
      </c>
      <c r="U879" t="s">
        <v>29</v>
      </c>
      <c r="V879">
        <v>0</v>
      </c>
    </row>
    <row r="880" spans="1:22" x14ac:dyDescent="0.3">
      <c r="A880" s="1">
        <v>45248</v>
      </c>
      <c r="B880" t="s">
        <v>22</v>
      </c>
      <c r="C880" t="s">
        <v>41</v>
      </c>
      <c r="D880" t="s">
        <v>24</v>
      </c>
      <c r="E880" t="s">
        <v>25</v>
      </c>
      <c r="F880" t="s">
        <v>26</v>
      </c>
      <c r="G880">
        <v>853</v>
      </c>
      <c r="H880">
        <v>1732</v>
      </c>
      <c r="I880">
        <v>11665.30781</v>
      </c>
      <c r="J880" t="b">
        <v>1</v>
      </c>
      <c r="K880">
        <v>19</v>
      </c>
      <c r="L880" t="b">
        <v>0</v>
      </c>
      <c r="M880">
        <v>38082.516239999997</v>
      </c>
      <c r="N880">
        <v>2378.5</v>
      </c>
      <c r="O880">
        <v>9887</v>
      </c>
      <c r="P880" t="s">
        <v>36</v>
      </c>
      <c r="Q880">
        <v>0.35862938826991803</v>
      </c>
      <c r="R880" t="s">
        <v>37</v>
      </c>
      <c r="S880">
        <v>13.675624630715124</v>
      </c>
      <c r="T880">
        <v>0.24056842318195609</v>
      </c>
      <c r="U880" t="s">
        <v>34</v>
      </c>
      <c r="V880">
        <v>0</v>
      </c>
    </row>
    <row r="881" spans="1:22" x14ac:dyDescent="0.3">
      <c r="A881" s="1">
        <v>45247</v>
      </c>
      <c r="B881" t="s">
        <v>42</v>
      </c>
      <c r="C881" t="s">
        <v>44</v>
      </c>
      <c r="D881" t="s">
        <v>46</v>
      </c>
      <c r="E881" t="s">
        <v>45</v>
      </c>
      <c r="F881" t="s">
        <v>26</v>
      </c>
      <c r="G881">
        <v>425</v>
      </c>
      <c r="H881">
        <v>3025</v>
      </c>
      <c r="I881">
        <v>1717.4571699999999</v>
      </c>
      <c r="J881" t="b">
        <v>1</v>
      </c>
      <c r="K881">
        <v>25</v>
      </c>
      <c r="L881" t="b">
        <v>0</v>
      </c>
      <c r="M881">
        <v>47670.418830000002</v>
      </c>
      <c r="N881">
        <v>2711.5</v>
      </c>
      <c r="O881">
        <v>6691</v>
      </c>
      <c r="P881" t="s">
        <v>27</v>
      </c>
      <c r="Q881">
        <v>0.15673981191222572</v>
      </c>
      <c r="R881" t="s">
        <v>37</v>
      </c>
      <c r="S881">
        <v>4.0410756941176471</v>
      </c>
      <c r="T881">
        <v>0.40524585263787177</v>
      </c>
      <c r="U881" t="s">
        <v>29</v>
      </c>
      <c r="V881">
        <v>0</v>
      </c>
    </row>
    <row r="882" spans="1:22" x14ac:dyDescent="0.3">
      <c r="A882" s="1">
        <v>45246</v>
      </c>
      <c r="B882" t="s">
        <v>38</v>
      </c>
      <c r="C882" t="s">
        <v>41</v>
      </c>
      <c r="D882" t="s">
        <v>46</v>
      </c>
      <c r="E882" t="s">
        <v>45</v>
      </c>
      <c r="F882" t="s">
        <v>43</v>
      </c>
      <c r="G882">
        <v>514</v>
      </c>
      <c r="H882">
        <v>2398</v>
      </c>
      <c r="I882">
        <v>3933.564989</v>
      </c>
      <c r="J882" t="b">
        <v>1</v>
      </c>
      <c r="K882">
        <v>22</v>
      </c>
      <c r="L882" t="b">
        <v>0</v>
      </c>
      <c r="M882">
        <v>53373.058490000003</v>
      </c>
      <c r="N882">
        <v>1971.5</v>
      </c>
      <c r="O882">
        <v>5942</v>
      </c>
      <c r="P882" t="s">
        <v>27</v>
      </c>
      <c r="Q882">
        <v>0.26071519147856964</v>
      </c>
      <c r="R882" t="s">
        <v>37</v>
      </c>
      <c r="S882">
        <v>7.6528501731517506</v>
      </c>
      <c r="T882">
        <v>0.33179064288118476</v>
      </c>
      <c r="U882" t="s">
        <v>34</v>
      </c>
      <c r="V882">
        <v>0</v>
      </c>
    </row>
    <row r="883" spans="1:22" x14ac:dyDescent="0.3">
      <c r="A883" s="1">
        <v>45245</v>
      </c>
      <c r="B883" t="s">
        <v>30</v>
      </c>
      <c r="C883" t="s">
        <v>23</v>
      </c>
      <c r="D883" t="s">
        <v>35</v>
      </c>
      <c r="E883" t="s">
        <v>45</v>
      </c>
      <c r="F883" t="s">
        <v>39</v>
      </c>
      <c r="G883">
        <v>302</v>
      </c>
      <c r="H883">
        <v>1545</v>
      </c>
      <c r="I883">
        <v>10343.866389999999</v>
      </c>
      <c r="J883" t="b">
        <v>1</v>
      </c>
      <c r="K883">
        <v>27</v>
      </c>
      <c r="L883" t="b">
        <v>0</v>
      </c>
      <c r="M883">
        <v>44067.237589999997</v>
      </c>
      <c r="N883">
        <v>2948.5</v>
      </c>
      <c r="O883">
        <v>5762</v>
      </c>
      <c r="P883" t="s">
        <v>36</v>
      </c>
      <c r="Q883">
        <v>0.10242496184500594</v>
      </c>
      <c r="R883" t="s">
        <v>37</v>
      </c>
      <c r="S883">
        <v>34.251213211920529</v>
      </c>
      <c r="T883">
        <v>0.51171468240194373</v>
      </c>
      <c r="U883" t="s">
        <v>29</v>
      </c>
      <c r="V883">
        <v>0</v>
      </c>
    </row>
    <row r="884" spans="1:22" x14ac:dyDescent="0.3">
      <c r="A884" s="1">
        <v>45244</v>
      </c>
      <c r="B884" t="s">
        <v>22</v>
      </c>
      <c r="C884" t="s">
        <v>31</v>
      </c>
      <c r="D884" t="s">
        <v>35</v>
      </c>
      <c r="E884" t="s">
        <v>33</v>
      </c>
      <c r="F884" t="s">
        <v>43</v>
      </c>
      <c r="G884">
        <v>112</v>
      </c>
      <c r="H884">
        <v>4352</v>
      </c>
      <c r="I884">
        <v>6498.7374630000004</v>
      </c>
      <c r="J884" t="b">
        <v>1</v>
      </c>
      <c r="K884">
        <v>12</v>
      </c>
      <c r="L884" t="b">
        <v>0</v>
      </c>
      <c r="M884">
        <v>20079.06234</v>
      </c>
      <c r="N884">
        <v>2957</v>
      </c>
      <c r="O884">
        <v>6806</v>
      </c>
      <c r="P884" t="s">
        <v>27</v>
      </c>
      <c r="Q884">
        <v>3.7876225904633076E-2</v>
      </c>
      <c r="R884" t="s">
        <v>28</v>
      </c>
      <c r="S884">
        <v>58.024441633928575</v>
      </c>
      <c r="T884">
        <v>0.434469585659712</v>
      </c>
      <c r="U884" t="s">
        <v>29</v>
      </c>
      <c r="V884">
        <v>0</v>
      </c>
    </row>
    <row r="885" spans="1:22" x14ac:dyDescent="0.3">
      <c r="A885" s="1">
        <v>45243</v>
      </c>
      <c r="B885" t="s">
        <v>30</v>
      </c>
      <c r="C885" t="s">
        <v>31</v>
      </c>
      <c r="D885" t="s">
        <v>46</v>
      </c>
      <c r="E885" t="s">
        <v>45</v>
      </c>
      <c r="F885" t="s">
        <v>39</v>
      </c>
      <c r="G885">
        <v>66</v>
      </c>
      <c r="H885">
        <v>1562</v>
      </c>
      <c r="I885">
        <v>1613.5374220000001</v>
      </c>
      <c r="J885" t="b">
        <v>1</v>
      </c>
      <c r="K885">
        <v>8</v>
      </c>
      <c r="L885" t="b">
        <v>1</v>
      </c>
      <c r="M885">
        <v>11925.78141</v>
      </c>
      <c r="N885">
        <v>2191.5</v>
      </c>
      <c r="O885">
        <v>5731</v>
      </c>
      <c r="P885" t="s">
        <v>36</v>
      </c>
      <c r="Q885">
        <v>3.0116358658453114E-2</v>
      </c>
      <c r="R885" t="s">
        <v>28</v>
      </c>
      <c r="S885">
        <v>24.447536696969699</v>
      </c>
      <c r="T885">
        <v>0.38239399755714537</v>
      </c>
      <c r="U885" t="s">
        <v>34</v>
      </c>
      <c r="V885">
        <v>1</v>
      </c>
    </row>
    <row r="886" spans="1:22" x14ac:dyDescent="0.3">
      <c r="A886" s="1">
        <v>45242</v>
      </c>
      <c r="B886" t="s">
        <v>42</v>
      </c>
      <c r="C886" t="s">
        <v>44</v>
      </c>
      <c r="D886" t="s">
        <v>35</v>
      </c>
      <c r="E886" t="s">
        <v>45</v>
      </c>
      <c r="F886" t="s">
        <v>26</v>
      </c>
      <c r="G886">
        <v>604</v>
      </c>
      <c r="H886">
        <v>2821</v>
      </c>
      <c r="I886">
        <v>12179.69267</v>
      </c>
      <c r="J886" t="b">
        <v>1</v>
      </c>
      <c r="K886">
        <v>1</v>
      </c>
      <c r="L886" t="b">
        <v>0</v>
      </c>
      <c r="M886">
        <v>81959.350130000006</v>
      </c>
      <c r="N886">
        <v>2790</v>
      </c>
      <c r="O886">
        <v>5540</v>
      </c>
      <c r="P886" t="s">
        <v>27</v>
      </c>
      <c r="Q886">
        <v>0.21648745519713261</v>
      </c>
      <c r="R886" t="s">
        <v>40</v>
      </c>
      <c r="S886">
        <v>20.165054089403974</v>
      </c>
      <c r="T886">
        <v>0.50361010830324915</v>
      </c>
      <c r="U886" t="s">
        <v>29</v>
      </c>
      <c r="V886">
        <v>0</v>
      </c>
    </row>
    <row r="887" spans="1:22" x14ac:dyDescent="0.3">
      <c r="A887" s="1">
        <v>45241</v>
      </c>
      <c r="B887" t="s">
        <v>30</v>
      </c>
      <c r="C887" t="s">
        <v>23</v>
      </c>
      <c r="D887" t="s">
        <v>46</v>
      </c>
      <c r="E887" t="s">
        <v>33</v>
      </c>
      <c r="F887" t="s">
        <v>26</v>
      </c>
      <c r="G887">
        <v>815</v>
      </c>
      <c r="H887">
        <v>2759</v>
      </c>
      <c r="I887">
        <v>602.12226209999994</v>
      </c>
      <c r="J887" t="b">
        <v>1</v>
      </c>
      <c r="K887">
        <v>3</v>
      </c>
      <c r="L887" t="b">
        <v>0</v>
      </c>
      <c r="M887">
        <v>20033.09592</v>
      </c>
      <c r="N887">
        <v>1561.5</v>
      </c>
      <c r="O887">
        <v>8743</v>
      </c>
      <c r="P887" t="s">
        <v>27</v>
      </c>
      <c r="Q887">
        <v>0.5219340377841819</v>
      </c>
      <c r="R887" t="s">
        <v>40</v>
      </c>
      <c r="S887">
        <v>0.7388003215950919</v>
      </c>
      <c r="T887">
        <v>0.17860002287544322</v>
      </c>
      <c r="U887" t="s">
        <v>34</v>
      </c>
      <c r="V887">
        <v>0</v>
      </c>
    </row>
    <row r="888" spans="1:22" x14ac:dyDescent="0.3">
      <c r="A888" s="1">
        <v>45240</v>
      </c>
      <c r="B888" t="s">
        <v>30</v>
      </c>
      <c r="C888" t="s">
        <v>41</v>
      </c>
      <c r="D888" t="s">
        <v>32</v>
      </c>
      <c r="E888" t="s">
        <v>45</v>
      </c>
      <c r="F888" t="s">
        <v>43</v>
      </c>
      <c r="G888">
        <v>190</v>
      </c>
      <c r="H888">
        <v>364</v>
      </c>
      <c r="I888">
        <v>3071.594744</v>
      </c>
      <c r="J888" t="b">
        <v>1</v>
      </c>
      <c r="K888">
        <v>15</v>
      </c>
      <c r="L888" t="b">
        <v>0</v>
      </c>
      <c r="M888">
        <v>16378.31832</v>
      </c>
      <c r="N888">
        <v>956.5</v>
      </c>
      <c r="O888">
        <v>9338</v>
      </c>
      <c r="P888" t="s">
        <v>36</v>
      </c>
      <c r="Q888">
        <v>0.19864087820177731</v>
      </c>
      <c r="R888" t="s">
        <v>37</v>
      </c>
      <c r="S888">
        <v>16.166288126315788</v>
      </c>
      <c r="T888">
        <v>0.10243092739344613</v>
      </c>
      <c r="U888" t="s">
        <v>34</v>
      </c>
      <c r="V888">
        <v>0</v>
      </c>
    </row>
    <row r="889" spans="1:22" x14ac:dyDescent="0.3">
      <c r="A889" s="1">
        <v>45239</v>
      </c>
      <c r="B889" t="s">
        <v>42</v>
      </c>
      <c r="C889" t="s">
        <v>41</v>
      </c>
      <c r="D889" t="s">
        <v>46</v>
      </c>
      <c r="E889" t="s">
        <v>45</v>
      </c>
      <c r="F889" t="s">
        <v>43</v>
      </c>
      <c r="G889">
        <v>61</v>
      </c>
      <c r="H889">
        <v>1549</v>
      </c>
      <c r="I889">
        <v>13732.77289</v>
      </c>
      <c r="J889" t="b">
        <v>1</v>
      </c>
      <c r="K889">
        <v>5</v>
      </c>
      <c r="L889" t="b">
        <v>0</v>
      </c>
      <c r="M889">
        <v>2500.3005710000002</v>
      </c>
      <c r="N889">
        <v>1692.5</v>
      </c>
      <c r="O889">
        <v>9268</v>
      </c>
      <c r="P889" t="s">
        <v>36</v>
      </c>
      <c r="Q889">
        <v>3.604135893648449E-2</v>
      </c>
      <c r="R889" t="s">
        <v>40</v>
      </c>
      <c r="S889">
        <v>225.12742442622951</v>
      </c>
      <c r="T889">
        <v>0.18261760897712559</v>
      </c>
      <c r="U889" t="s">
        <v>34</v>
      </c>
      <c r="V889">
        <v>0</v>
      </c>
    </row>
    <row r="890" spans="1:22" x14ac:dyDescent="0.3">
      <c r="A890" s="1">
        <v>45238</v>
      </c>
      <c r="B890" t="s">
        <v>30</v>
      </c>
      <c r="C890" t="s">
        <v>31</v>
      </c>
      <c r="D890" t="s">
        <v>35</v>
      </c>
      <c r="E890" t="s">
        <v>25</v>
      </c>
      <c r="F890" t="s">
        <v>26</v>
      </c>
      <c r="G890">
        <v>941</v>
      </c>
      <c r="H890">
        <v>1836</v>
      </c>
      <c r="I890">
        <v>8904.1525469999997</v>
      </c>
      <c r="J890" t="b">
        <v>1</v>
      </c>
      <c r="K890">
        <v>1</v>
      </c>
      <c r="L890" t="b">
        <v>0</v>
      </c>
      <c r="M890">
        <v>98308.325110000005</v>
      </c>
      <c r="N890">
        <v>2586</v>
      </c>
      <c r="O890">
        <v>6555</v>
      </c>
      <c r="P890" t="s">
        <v>36</v>
      </c>
      <c r="Q890">
        <v>0.36388244392884767</v>
      </c>
      <c r="R890" t="s">
        <v>40</v>
      </c>
      <c r="S890">
        <v>9.4624362879914976</v>
      </c>
      <c r="T890">
        <v>0.39450800915331807</v>
      </c>
      <c r="U890" t="s">
        <v>34</v>
      </c>
      <c r="V890">
        <v>0</v>
      </c>
    </row>
    <row r="891" spans="1:22" x14ac:dyDescent="0.3">
      <c r="A891" s="1">
        <v>45237</v>
      </c>
      <c r="B891" t="s">
        <v>42</v>
      </c>
      <c r="C891" t="s">
        <v>31</v>
      </c>
      <c r="D891" t="s">
        <v>46</v>
      </c>
      <c r="E891" t="s">
        <v>33</v>
      </c>
      <c r="F891" t="s">
        <v>26</v>
      </c>
      <c r="G891">
        <v>624</v>
      </c>
      <c r="H891">
        <v>3336</v>
      </c>
      <c r="I891">
        <v>1169.8490059999999</v>
      </c>
      <c r="J891" t="b">
        <v>1</v>
      </c>
      <c r="K891">
        <v>28</v>
      </c>
      <c r="L891" t="b">
        <v>1</v>
      </c>
      <c r="M891">
        <v>82473.528179999994</v>
      </c>
      <c r="N891">
        <v>2493.5</v>
      </c>
      <c r="O891">
        <v>9607</v>
      </c>
      <c r="P891" t="s">
        <v>27</v>
      </c>
      <c r="Q891">
        <v>0.25025065169440547</v>
      </c>
      <c r="R891" t="s">
        <v>37</v>
      </c>
      <c r="S891">
        <v>1.8747580224358973</v>
      </c>
      <c r="T891">
        <v>0.25955032788591653</v>
      </c>
      <c r="U891" t="s">
        <v>34</v>
      </c>
      <c r="V891">
        <v>1</v>
      </c>
    </row>
    <row r="892" spans="1:22" x14ac:dyDescent="0.3">
      <c r="A892" s="1">
        <v>45236</v>
      </c>
      <c r="B892" t="s">
        <v>38</v>
      </c>
      <c r="C892" t="s">
        <v>23</v>
      </c>
      <c r="D892" t="s">
        <v>32</v>
      </c>
      <c r="E892" t="s">
        <v>25</v>
      </c>
      <c r="F892" t="s">
        <v>26</v>
      </c>
      <c r="G892">
        <v>991</v>
      </c>
      <c r="H892">
        <v>1651</v>
      </c>
      <c r="I892">
        <v>3022.4328719999999</v>
      </c>
      <c r="J892" t="b">
        <v>1</v>
      </c>
      <c r="K892">
        <v>19</v>
      </c>
      <c r="L892" t="b">
        <v>1</v>
      </c>
      <c r="M892">
        <v>73261.337899999999</v>
      </c>
      <c r="N892">
        <v>2741</v>
      </c>
      <c r="O892">
        <v>8574</v>
      </c>
      <c r="P892" t="s">
        <v>36</v>
      </c>
      <c r="Q892">
        <v>0.3615468807004743</v>
      </c>
      <c r="R892" t="s">
        <v>37</v>
      </c>
      <c r="S892">
        <v>3.0498818082744701</v>
      </c>
      <c r="T892">
        <v>0.31968742710520176</v>
      </c>
      <c r="U892" t="s">
        <v>34</v>
      </c>
      <c r="V892">
        <v>1</v>
      </c>
    </row>
    <row r="893" spans="1:22" x14ac:dyDescent="0.3">
      <c r="A893" s="1">
        <v>45235</v>
      </c>
      <c r="B893" t="s">
        <v>42</v>
      </c>
      <c r="C893" t="s">
        <v>23</v>
      </c>
      <c r="D893" t="s">
        <v>32</v>
      </c>
      <c r="E893" t="s">
        <v>25</v>
      </c>
      <c r="F893" t="s">
        <v>43</v>
      </c>
      <c r="G893">
        <v>936</v>
      </c>
      <c r="H893">
        <v>3831</v>
      </c>
      <c r="I893">
        <v>13094.01605</v>
      </c>
      <c r="J893" t="b">
        <v>1</v>
      </c>
      <c r="K893">
        <v>15</v>
      </c>
      <c r="L893" t="b">
        <v>0</v>
      </c>
      <c r="M893">
        <v>20669.68405</v>
      </c>
      <c r="N893">
        <v>3285.5</v>
      </c>
      <c r="O893">
        <v>8693</v>
      </c>
      <c r="P893" t="s">
        <v>27</v>
      </c>
      <c r="Q893">
        <v>0.28488814487901387</v>
      </c>
      <c r="R893" t="s">
        <v>37</v>
      </c>
      <c r="S893">
        <v>13.989333386752136</v>
      </c>
      <c r="T893">
        <v>0.3779477740710917</v>
      </c>
      <c r="U893" t="s">
        <v>34</v>
      </c>
      <c r="V893">
        <v>0</v>
      </c>
    </row>
    <row r="894" spans="1:22" x14ac:dyDescent="0.3">
      <c r="A894" s="1">
        <v>45234</v>
      </c>
      <c r="B894" t="s">
        <v>38</v>
      </c>
      <c r="C894" t="s">
        <v>44</v>
      </c>
      <c r="D894" t="s">
        <v>46</v>
      </c>
      <c r="E894" t="s">
        <v>45</v>
      </c>
      <c r="F894" t="s">
        <v>43</v>
      </c>
      <c r="G894">
        <v>928</v>
      </c>
      <c r="H894">
        <v>2740</v>
      </c>
      <c r="I894">
        <v>14707.151260000001</v>
      </c>
      <c r="J894" t="b">
        <v>1</v>
      </c>
      <c r="K894">
        <v>26</v>
      </c>
      <c r="L894" t="b">
        <v>0</v>
      </c>
      <c r="M894">
        <v>184468.4823</v>
      </c>
      <c r="N894">
        <v>1850.5</v>
      </c>
      <c r="O894">
        <v>5642</v>
      </c>
      <c r="P894" t="s">
        <v>27</v>
      </c>
      <c r="Q894">
        <v>0.50148608484193458</v>
      </c>
      <c r="R894" t="s">
        <v>37</v>
      </c>
      <c r="S894">
        <v>15.848223340517242</v>
      </c>
      <c r="T894">
        <v>0.32798652959943281</v>
      </c>
      <c r="U894" t="s">
        <v>34</v>
      </c>
      <c r="V894">
        <v>0</v>
      </c>
    </row>
    <row r="895" spans="1:22" x14ac:dyDescent="0.3">
      <c r="A895" s="1">
        <v>45233</v>
      </c>
      <c r="B895" t="s">
        <v>42</v>
      </c>
      <c r="C895" t="s">
        <v>23</v>
      </c>
      <c r="D895" t="s">
        <v>24</v>
      </c>
      <c r="E895" t="s">
        <v>33</v>
      </c>
      <c r="F895" t="s">
        <v>26</v>
      </c>
      <c r="G895">
        <v>752</v>
      </c>
      <c r="H895">
        <v>961</v>
      </c>
      <c r="I895">
        <v>14063.659949999999</v>
      </c>
      <c r="J895" t="b">
        <v>1</v>
      </c>
      <c r="K895">
        <v>18</v>
      </c>
      <c r="L895" t="b">
        <v>0</v>
      </c>
      <c r="M895">
        <v>85322.532089999993</v>
      </c>
      <c r="N895">
        <v>1283</v>
      </c>
      <c r="O895">
        <v>7075</v>
      </c>
      <c r="P895" t="s">
        <v>36</v>
      </c>
      <c r="Q895">
        <v>0.58612626656274358</v>
      </c>
      <c r="R895" t="s">
        <v>37</v>
      </c>
      <c r="S895">
        <v>18.701675465425531</v>
      </c>
      <c r="T895">
        <v>0.1813427561837456</v>
      </c>
      <c r="U895" t="s">
        <v>34</v>
      </c>
      <c r="V895">
        <v>0</v>
      </c>
    </row>
    <row r="896" spans="1:22" x14ac:dyDescent="0.3">
      <c r="A896" s="1">
        <v>45232</v>
      </c>
      <c r="B896" t="s">
        <v>22</v>
      </c>
      <c r="C896" t="s">
        <v>31</v>
      </c>
      <c r="D896" t="s">
        <v>46</v>
      </c>
      <c r="E896" t="s">
        <v>33</v>
      </c>
      <c r="F896" t="s">
        <v>26</v>
      </c>
      <c r="G896">
        <v>312</v>
      </c>
      <c r="H896">
        <v>1605</v>
      </c>
      <c r="I896">
        <v>13523.123449999999</v>
      </c>
      <c r="J896" t="b">
        <v>1</v>
      </c>
      <c r="K896">
        <v>26</v>
      </c>
      <c r="L896" t="b">
        <v>0</v>
      </c>
      <c r="M896">
        <v>54917.466370000002</v>
      </c>
      <c r="N896">
        <v>1150.5</v>
      </c>
      <c r="O896">
        <v>9022</v>
      </c>
      <c r="P896" t="s">
        <v>27</v>
      </c>
      <c r="Q896">
        <v>0.2711864406779661</v>
      </c>
      <c r="R896" t="s">
        <v>37</v>
      </c>
      <c r="S896">
        <v>43.343344391025639</v>
      </c>
      <c r="T896">
        <v>0.12752161383285301</v>
      </c>
      <c r="U896" t="s">
        <v>34</v>
      </c>
      <c r="V896">
        <v>0</v>
      </c>
    </row>
    <row r="897" spans="1:22" x14ac:dyDescent="0.3">
      <c r="A897" s="1">
        <v>45231</v>
      </c>
      <c r="B897" t="s">
        <v>38</v>
      </c>
      <c r="C897" t="s">
        <v>31</v>
      </c>
      <c r="D897" t="s">
        <v>32</v>
      </c>
      <c r="E897" t="s">
        <v>45</v>
      </c>
      <c r="F897" t="s">
        <v>39</v>
      </c>
      <c r="G897">
        <v>121</v>
      </c>
      <c r="H897">
        <v>696</v>
      </c>
      <c r="I897">
        <v>1885.6070070000001</v>
      </c>
      <c r="J897" t="b">
        <v>1</v>
      </c>
      <c r="K897">
        <v>1</v>
      </c>
      <c r="L897" t="b">
        <v>0</v>
      </c>
      <c r="M897">
        <v>19190.43188</v>
      </c>
      <c r="N897">
        <v>2510.5</v>
      </c>
      <c r="O897">
        <v>5813</v>
      </c>
      <c r="P897" t="s">
        <v>36</v>
      </c>
      <c r="Q897">
        <v>4.8197570205138415E-2</v>
      </c>
      <c r="R897" t="s">
        <v>40</v>
      </c>
      <c r="S897">
        <v>15.583528983471075</v>
      </c>
      <c r="T897">
        <v>0.43187682779975917</v>
      </c>
      <c r="U897" t="s">
        <v>29</v>
      </c>
      <c r="V897">
        <v>0</v>
      </c>
    </row>
    <row r="898" spans="1:22" x14ac:dyDescent="0.3">
      <c r="A898" s="1">
        <v>45230</v>
      </c>
      <c r="B898" t="s">
        <v>38</v>
      </c>
      <c r="C898" t="s">
        <v>31</v>
      </c>
      <c r="D898" t="s">
        <v>24</v>
      </c>
      <c r="E898" t="s">
        <v>25</v>
      </c>
      <c r="F898" t="s">
        <v>43</v>
      </c>
      <c r="G898">
        <v>640</v>
      </c>
      <c r="H898">
        <v>4325</v>
      </c>
      <c r="I898">
        <v>7137.2853489999998</v>
      </c>
      <c r="J898" t="b">
        <v>1</v>
      </c>
      <c r="K898">
        <v>17</v>
      </c>
      <c r="L898" t="b">
        <v>0</v>
      </c>
      <c r="M898">
        <v>48649.502999999997</v>
      </c>
      <c r="N898">
        <v>3487.5</v>
      </c>
      <c r="O898">
        <v>8174</v>
      </c>
      <c r="P898" t="s">
        <v>27</v>
      </c>
      <c r="Q898">
        <v>0.18351254480286738</v>
      </c>
      <c r="R898" t="s">
        <v>37</v>
      </c>
      <c r="S898">
        <v>11.1520083578125</v>
      </c>
      <c r="T898">
        <v>0.42665769513090285</v>
      </c>
      <c r="U898" t="s">
        <v>29</v>
      </c>
      <c r="V898">
        <v>0</v>
      </c>
    </row>
    <row r="899" spans="1:22" x14ac:dyDescent="0.3">
      <c r="A899" s="1">
        <v>45229</v>
      </c>
      <c r="B899" t="s">
        <v>30</v>
      </c>
      <c r="C899" t="s">
        <v>44</v>
      </c>
      <c r="D899" t="s">
        <v>32</v>
      </c>
      <c r="E899" t="s">
        <v>25</v>
      </c>
      <c r="F899" t="s">
        <v>26</v>
      </c>
      <c r="G899">
        <v>332</v>
      </c>
      <c r="H899">
        <v>2650</v>
      </c>
      <c r="I899">
        <v>4843.5666339999998</v>
      </c>
      <c r="J899" t="b">
        <v>1</v>
      </c>
      <c r="K899">
        <v>7</v>
      </c>
      <c r="L899" t="b">
        <v>0</v>
      </c>
      <c r="M899">
        <v>19076.653389999999</v>
      </c>
      <c r="N899">
        <v>1595.5</v>
      </c>
      <c r="O899">
        <v>7125</v>
      </c>
      <c r="P899" t="s">
        <v>27</v>
      </c>
      <c r="Q899">
        <v>0.20808523973675963</v>
      </c>
      <c r="R899" t="s">
        <v>40</v>
      </c>
      <c r="S899">
        <v>14.589056126506023</v>
      </c>
      <c r="T899">
        <v>0.22392982456140351</v>
      </c>
      <c r="U899" t="s">
        <v>34</v>
      </c>
      <c r="V899">
        <v>0</v>
      </c>
    </row>
    <row r="900" spans="1:22" x14ac:dyDescent="0.3">
      <c r="A900" s="1">
        <v>45228</v>
      </c>
      <c r="B900" t="s">
        <v>22</v>
      </c>
      <c r="C900" t="s">
        <v>44</v>
      </c>
      <c r="D900" t="s">
        <v>35</v>
      </c>
      <c r="E900" t="s">
        <v>33</v>
      </c>
      <c r="F900" t="s">
        <v>26</v>
      </c>
      <c r="G900">
        <v>972</v>
      </c>
      <c r="H900">
        <v>541</v>
      </c>
      <c r="I900">
        <v>10368.129660000001</v>
      </c>
      <c r="J900" t="b">
        <v>1</v>
      </c>
      <c r="K900">
        <v>12</v>
      </c>
      <c r="L900" t="b">
        <v>0</v>
      </c>
      <c r="M900">
        <v>187293.0993</v>
      </c>
      <c r="N900">
        <v>789.5</v>
      </c>
      <c r="O900">
        <v>8885</v>
      </c>
      <c r="P900" t="s">
        <v>36</v>
      </c>
      <c r="Q900">
        <v>1.2311589613679543</v>
      </c>
      <c r="R900" t="s">
        <v>28</v>
      </c>
      <c r="S900">
        <v>10.666800061728395</v>
      </c>
      <c r="T900">
        <v>8.8857625211029828E-2</v>
      </c>
      <c r="U900" t="s">
        <v>34</v>
      </c>
      <c r="V900">
        <v>0</v>
      </c>
    </row>
    <row r="901" spans="1:22" x14ac:dyDescent="0.3">
      <c r="A901" s="1">
        <v>45227</v>
      </c>
      <c r="B901" t="s">
        <v>22</v>
      </c>
      <c r="C901" t="s">
        <v>31</v>
      </c>
      <c r="D901" t="s">
        <v>24</v>
      </c>
      <c r="E901" t="s">
        <v>25</v>
      </c>
      <c r="F901" t="s">
        <v>26</v>
      </c>
      <c r="G901">
        <v>876</v>
      </c>
      <c r="H901">
        <v>1038</v>
      </c>
      <c r="I901">
        <v>11974.76233</v>
      </c>
      <c r="J901" t="b">
        <v>1</v>
      </c>
      <c r="K901">
        <v>27</v>
      </c>
      <c r="L901" t="b">
        <v>0</v>
      </c>
      <c r="M901">
        <v>165131.83309999999</v>
      </c>
      <c r="N901">
        <v>2168.5</v>
      </c>
      <c r="O901">
        <v>9577</v>
      </c>
      <c r="P901" t="s">
        <v>36</v>
      </c>
      <c r="Q901">
        <v>0.40396587502882175</v>
      </c>
      <c r="R901" t="s">
        <v>37</v>
      </c>
      <c r="S901">
        <v>13.669820011415524</v>
      </c>
      <c r="T901">
        <v>0.22642790017750861</v>
      </c>
      <c r="U901" t="s">
        <v>34</v>
      </c>
      <c r="V901">
        <v>0</v>
      </c>
    </row>
    <row r="902" spans="1:22" x14ac:dyDescent="0.3">
      <c r="A902" s="1">
        <v>45226</v>
      </c>
      <c r="B902" t="s">
        <v>42</v>
      </c>
      <c r="C902" t="s">
        <v>31</v>
      </c>
      <c r="D902" t="s">
        <v>46</v>
      </c>
      <c r="E902" t="s">
        <v>25</v>
      </c>
      <c r="F902" t="s">
        <v>26</v>
      </c>
      <c r="G902">
        <v>523</v>
      </c>
      <c r="H902">
        <v>3299</v>
      </c>
      <c r="I902">
        <v>5077.9563820000003</v>
      </c>
      <c r="J902" t="b">
        <v>1</v>
      </c>
      <c r="K902">
        <v>10</v>
      </c>
      <c r="L902" t="b">
        <v>1</v>
      </c>
      <c r="M902">
        <v>68475.703850000005</v>
      </c>
      <c r="N902">
        <v>3040</v>
      </c>
      <c r="O902">
        <v>9521</v>
      </c>
      <c r="P902" t="s">
        <v>27</v>
      </c>
      <c r="Q902">
        <v>0.17203947368421052</v>
      </c>
      <c r="R902" t="s">
        <v>28</v>
      </c>
      <c r="S902">
        <v>9.7092856252390067</v>
      </c>
      <c r="T902">
        <v>0.31929419178657703</v>
      </c>
      <c r="U902" t="s">
        <v>34</v>
      </c>
      <c r="V902">
        <v>1</v>
      </c>
    </row>
    <row r="903" spans="1:22" x14ac:dyDescent="0.3">
      <c r="A903" s="1">
        <v>45225</v>
      </c>
      <c r="B903" t="s">
        <v>22</v>
      </c>
      <c r="C903" t="s">
        <v>31</v>
      </c>
      <c r="D903" t="s">
        <v>32</v>
      </c>
      <c r="E903" t="s">
        <v>33</v>
      </c>
      <c r="F903" t="s">
        <v>26</v>
      </c>
      <c r="G903">
        <v>691</v>
      </c>
      <c r="H903">
        <v>2781</v>
      </c>
      <c r="I903">
        <v>5568.0806169999996</v>
      </c>
      <c r="J903" t="b">
        <v>1</v>
      </c>
      <c r="K903">
        <v>6</v>
      </c>
      <c r="L903" t="b">
        <v>0</v>
      </c>
      <c r="M903">
        <v>135161.32990000001</v>
      </c>
      <c r="N903">
        <v>3218.5</v>
      </c>
      <c r="O903">
        <v>8100</v>
      </c>
      <c r="P903" t="s">
        <v>36</v>
      </c>
      <c r="Q903">
        <v>0.21469628709025942</v>
      </c>
      <c r="R903" t="s">
        <v>40</v>
      </c>
      <c r="S903">
        <v>8.0580037872648322</v>
      </c>
      <c r="T903">
        <v>0.39734567901234569</v>
      </c>
      <c r="U903" t="s">
        <v>34</v>
      </c>
      <c r="V903">
        <v>0</v>
      </c>
    </row>
    <row r="904" spans="1:22" x14ac:dyDescent="0.3">
      <c r="A904" s="1">
        <v>45224</v>
      </c>
      <c r="B904" t="s">
        <v>30</v>
      </c>
      <c r="C904" t="s">
        <v>23</v>
      </c>
      <c r="D904" t="s">
        <v>32</v>
      </c>
      <c r="E904" t="s">
        <v>45</v>
      </c>
      <c r="F904" t="s">
        <v>39</v>
      </c>
      <c r="G904">
        <v>807</v>
      </c>
      <c r="H904">
        <v>3656</v>
      </c>
      <c r="I904">
        <v>2857.1374860000001</v>
      </c>
      <c r="J904" t="b">
        <v>1</v>
      </c>
      <c r="K904">
        <v>15</v>
      </c>
      <c r="L904" t="b">
        <v>1</v>
      </c>
      <c r="M904">
        <v>89444.159790000005</v>
      </c>
      <c r="N904">
        <v>2400.5</v>
      </c>
      <c r="O904">
        <v>5560</v>
      </c>
      <c r="P904" t="s">
        <v>27</v>
      </c>
      <c r="Q904">
        <v>0.33617996250781085</v>
      </c>
      <c r="R904" t="s">
        <v>37</v>
      </c>
      <c r="S904">
        <v>3.5404429814126397</v>
      </c>
      <c r="T904">
        <v>0.43174460431654677</v>
      </c>
      <c r="U904" t="s">
        <v>29</v>
      </c>
      <c r="V904">
        <v>1</v>
      </c>
    </row>
    <row r="905" spans="1:22" x14ac:dyDescent="0.3">
      <c r="A905" s="1">
        <v>45223</v>
      </c>
      <c r="B905" t="s">
        <v>38</v>
      </c>
      <c r="C905" t="s">
        <v>23</v>
      </c>
      <c r="D905" t="s">
        <v>32</v>
      </c>
      <c r="E905" t="s">
        <v>33</v>
      </c>
      <c r="F905" t="s">
        <v>26</v>
      </c>
      <c r="G905">
        <v>949</v>
      </c>
      <c r="H905">
        <v>1145</v>
      </c>
      <c r="I905">
        <v>553.68489910000005</v>
      </c>
      <c r="J905" t="b">
        <v>1</v>
      </c>
      <c r="K905">
        <v>24</v>
      </c>
      <c r="L905" t="b">
        <v>0</v>
      </c>
      <c r="M905">
        <v>65143.912839999997</v>
      </c>
      <c r="N905">
        <v>3048.5</v>
      </c>
      <c r="O905">
        <v>9336</v>
      </c>
      <c r="P905" t="s">
        <v>36</v>
      </c>
      <c r="Q905">
        <v>0.31130063965884863</v>
      </c>
      <c r="R905" t="s">
        <v>37</v>
      </c>
      <c r="S905">
        <v>0.58344035732349853</v>
      </c>
      <c r="T905">
        <v>0.32653170522707797</v>
      </c>
      <c r="U905" t="s">
        <v>34</v>
      </c>
      <c r="V905">
        <v>0</v>
      </c>
    </row>
    <row r="906" spans="1:22" x14ac:dyDescent="0.3">
      <c r="A906" s="1">
        <v>45222</v>
      </c>
      <c r="B906" t="s">
        <v>42</v>
      </c>
      <c r="C906" t="s">
        <v>41</v>
      </c>
      <c r="D906" t="s">
        <v>46</v>
      </c>
      <c r="E906" t="s">
        <v>33</v>
      </c>
      <c r="F906" t="s">
        <v>26</v>
      </c>
      <c r="G906">
        <v>382</v>
      </c>
      <c r="H906">
        <v>4952</v>
      </c>
      <c r="I906">
        <v>4435.7475320000003</v>
      </c>
      <c r="J906" t="b">
        <v>1</v>
      </c>
      <c r="K906">
        <v>18</v>
      </c>
      <c r="L906" t="b">
        <v>0</v>
      </c>
      <c r="M906">
        <v>21548.578969999999</v>
      </c>
      <c r="N906">
        <v>3848</v>
      </c>
      <c r="O906">
        <v>8606</v>
      </c>
      <c r="P906" t="s">
        <v>27</v>
      </c>
      <c r="Q906">
        <v>9.9272349272349278E-2</v>
      </c>
      <c r="R906" t="s">
        <v>37</v>
      </c>
      <c r="S906">
        <v>11.611904534031414</v>
      </c>
      <c r="T906">
        <v>0.44712990936555891</v>
      </c>
      <c r="U906" t="s">
        <v>29</v>
      </c>
      <c r="V906">
        <v>0</v>
      </c>
    </row>
    <row r="907" spans="1:22" x14ac:dyDescent="0.3">
      <c r="A907" s="1">
        <v>45221</v>
      </c>
      <c r="B907" t="s">
        <v>38</v>
      </c>
      <c r="C907" t="s">
        <v>44</v>
      </c>
      <c r="D907" t="s">
        <v>32</v>
      </c>
      <c r="E907" t="s">
        <v>33</v>
      </c>
      <c r="F907" t="s">
        <v>26</v>
      </c>
      <c r="G907">
        <v>749</v>
      </c>
      <c r="H907">
        <v>2744</v>
      </c>
      <c r="I907">
        <v>13197.43435</v>
      </c>
      <c r="J907" t="b">
        <v>1</v>
      </c>
      <c r="K907">
        <v>3</v>
      </c>
      <c r="L907" t="b">
        <v>0</v>
      </c>
      <c r="M907">
        <v>93091.974839999995</v>
      </c>
      <c r="N907">
        <v>3639.5</v>
      </c>
      <c r="O907">
        <v>7176</v>
      </c>
      <c r="P907" t="s">
        <v>36</v>
      </c>
      <c r="Q907">
        <v>0.20579749965654623</v>
      </c>
      <c r="R907" t="s">
        <v>40</v>
      </c>
      <c r="S907">
        <v>17.620072563417889</v>
      </c>
      <c r="T907">
        <v>0.50717670011148275</v>
      </c>
      <c r="U907" t="s">
        <v>29</v>
      </c>
      <c r="V907">
        <v>0</v>
      </c>
    </row>
    <row r="908" spans="1:22" x14ac:dyDescent="0.3">
      <c r="A908" s="1">
        <v>45220</v>
      </c>
      <c r="B908" t="s">
        <v>38</v>
      </c>
      <c r="C908" t="s">
        <v>44</v>
      </c>
      <c r="D908" t="s">
        <v>32</v>
      </c>
      <c r="E908" t="s">
        <v>45</v>
      </c>
      <c r="F908" t="s">
        <v>26</v>
      </c>
      <c r="G908">
        <v>125</v>
      </c>
      <c r="H908">
        <v>4535</v>
      </c>
      <c r="I908">
        <v>7374.1058300000004</v>
      </c>
      <c r="J908" t="b">
        <v>0</v>
      </c>
      <c r="K908">
        <v>14</v>
      </c>
      <c r="L908" t="b">
        <v>0</v>
      </c>
      <c r="M908">
        <v>8779.4155630000005</v>
      </c>
      <c r="N908">
        <v>3900</v>
      </c>
      <c r="O908">
        <v>7216</v>
      </c>
      <c r="P908" t="s">
        <v>27</v>
      </c>
      <c r="Q908">
        <v>3.2051282051282048E-2</v>
      </c>
      <c r="R908" t="s">
        <v>28</v>
      </c>
      <c r="S908">
        <v>58.992846640000003</v>
      </c>
      <c r="T908">
        <v>0.54046563192904651</v>
      </c>
      <c r="U908" t="s">
        <v>29</v>
      </c>
      <c r="V908">
        <v>0</v>
      </c>
    </row>
    <row r="909" spans="1:22" x14ac:dyDescent="0.3">
      <c r="A909" s="1">
        <v>45219</v>
      </c>
      <c r="B909" t="s">
        <v>22</v>
      </c>
      <c r="C909" t="s">
        <v>31</v>
      </c>
      <c r="D909" t="s">
        <v>32</v>
      </c>
      <c r="E909" t="s">
        <v>45</v>
      </c>
      <c r="F909" t="s">
        <v>43</v>
      </c>
      <c r="G909">
        <v>347</v>
      </c>
      <c r="H909">
        <v>3265</v>
      </c>
      <c r="I909">
        <v>9549.6445910000002</v>
      </c>
      <c r="J909" t="b">
        <v>1</v>
      </c>
      <c r="K909">
        <v>21</v>
      </c>
      <c r="L909" t="b">
        <v>0</v>
      </c>
      <c r="M909">
        <v>50808.058590000001</v>
      </c>
      <c r="N909">
        <v>3502</v>
      </c>
      <c r="O909">
        <v>8745</v>
      </c>
      <c r="P909" t="s">
        <v>36</v>
      </c>
      <c r="Q909">
        <v>9.9086236436322098E-2</v>
      </c>
      <c r="R909" t="s">
        <v>37</v>
      </c>
      <c r="S909">
        <v>27.52058959942363</v>
      </c>
      <c r="T909">
        <v>0.40045740423098913</v>
      </c>
      <c r="U909" t="s">
        <v>29</v>
      </c>
      <c r="V909">
        <v>0</v>
      </c>
    </row>
    <row r="910" spans="1:22" x14ac:dyDescent="0.3">
      <c r="A910" s="1">
        <v>45218</v>
      </c>
      <c r="B910" t="s">
        <v>30</v>
      </c>
      <c r="C910" t="s">
        <v>31</v>
      </c>
      <c r="D910" t="s">
        <v>24</v>
      </c>
      <c r="E910" t="s">
        <v>45</v>
      </c>
      <c r="F910" t="s">
        <v>26</v>
      </c>
      <c r="G910">
        <v>353</v>
      </c>
      <c r="H910">
        <v>3739</v>
      </c>
      <c r="I910">
        <v>3970.3181549999999</v>
      </c>
      <c r="J910" t="b">
        <v>1</v>
      </c>
      <c r="K910">
        <v>25</v>
      </c>
      <c r="L910" t="b">
        <v>0</v>
      </c>
      <c r="M910">
        <v>9238.8932399999994</v>
      </c>
      <c r="N910">
        <v>4163</v>
      </c>
      <c r="O910">
        <v>5028</v>
      </c>
      <c r="P910" t="s">
        <v>36</v>
      </c>
      <c r="Q910">
        <v>8.4794619264953158E-2</v>
      </c>
      <c r="R910" t="s">
        <v>37</v>
      </c>
      <c r="S910">
        <v>11.247360212464589</v>
      </c>
      <c r="T910">
        <v>0.82796340493237863</v>
      </c>
      <c r="U910" t="s">
        <v>29</v>
      </c>
      <c r="V910">
        <v>0</v>
      </c>
    </row>
    <row r="911" spans="1:22" x14ac:dyDescent="0.3">
      <c r="A911" s="1">
        <v>45217</v>
      </c>
      <c r="B911" t="s">
        <v>22</v>
      </c>
      <c r="C911" t="s">
        <v>41</v>
      </c>
      <c r="D911" t="s">
        <v>32</v>
      </c>
      <c r="E911" t="s">
        <v>33</v>
      </c>
      <c r="F911" t="s">
        <v>26</v>
      </c>
      <c r="G911">
        <v>288</v>
      </c>
      <c r="H911">
        <v>4587</v>
      </c>
      <c r="I911">
        <v>14316.09864</v>
      </c>
      <c r="J911" t="b">
        <v>1</v>
      </c>
      <c r="K911">
        <v>29</v>
      </c>
      <c r="L911" t="b">
        <v>0</v>
      </c>
      <c r="M911">
        <v>6385.3209239999996</v>
      </c>
      <c r="N911">
        <v>3374</v>
      </c>
      <c r="O911">
        <v>7685</v>
      </c>
      <c r="P911" t="s">
        <v>27</v>
      </c>
      <c r="Q911">
        <v>8.5358624777711917E-2</v>
      </c>
      <c r="R911" t="s">
        <v>37</v>
      </c>
      <c r="S911">
        <v>49.708675833333331</v>
      </c>
      <c r="T911">
        <v>0.4390370852309694</v>
      </c>
      <c r="U911" t="s">
        <v>29</v>
      </c>
      <c r="V911">
        <v>0</v>
      </c>
    </row>
    <row r="912" spans="1:22" x14ac:dyDescent="0.3">
      <c r="A912" s="1">
        <v>45216</v>
      </c>
      <c r="B912" t="s">
        <v>42</v>
      </c>
      <c r="C912" t="s">
        <v>41</v>
      </c>
      <c r="D912" t="s">
        <v>32</v>
      </c>
      <c r="E912" t="s">
        <v>33</v>
      </c>
      <c r="F912" t="s">
        <v>26</v>
      </c>
      <c r="G912">
        <v>480</v>
      </c>
      <c r="H912">
        <v>2161</v>
      </c>
      <c r="I912">
        <v>14137.20938</v>
      </c>
      <c r="J912" t="b">
        <v>0</v>
      </c>
      <c r="K912">
        <v>25</v>
      </c>
      <c r="L912" t="b">
        <v>0</v>
      </c>
      <c r="M912">
        <v>60714.181499999999</v>
      </c>
      <c r="N912">
        <v>3453</v>
      </c>
      <c r="O912">
        <v>5556</v>
      </c>
      <c r="P912" t="s">
        <v>36</v>
      </c>
      <c r="Q912">
        <v>0.13900955690703737</v>
      </c>
      <c r="R912" t="s">
        <v>37</v>
      </c>
      <c r="S912">
        <v>29.452519541666668</v>
      </c>
      <c r="T912">
        <v>0.62149028077753776</v>
      </c>
      <c r="U912" t="s">
        <v>29</v>
      </c>
      <c r="V912">
        <v>0</v>
      </c>
    </row>
    <row r="913" spans="1:22" x14ac:dyDescent="0.3">
      <c r="A913" s="1">
        <v>45215</v>
      </c>
      <c r="B913" t="s">
        <v>22</v>
      </c>
      <c r="C913" t="s">
        <v>41</v>
      </c>
      <c r="D913" t="s">
        <v>24</v>
      </c>
      <c r="E913" t="s">
        <v>33</v>
      </c>
      <c r="F913" t="s">
        <v>26</v>
      </c>
      <c r="G913">
        <v>540</v>
      </c>
      <c r="H913">
        <v>4745</v>
      </c>
      <c r="I913">
        <v>7014.4809310000001</v>
      </c>
      <c r="J913" t="b">
        <v>0</v>
      </c>
      <c r="K913">
        <v>10</v>
      </c>
      <c r="L913" t="b">
        <v>0</v>
      </c>
      <c r="M913">
        <v>101812.92329999999</v>
      </c>
      <c r="N913">
        <v>2882.5</v>
      </c>
      <c r="O913">
        <v>8843</v>
      </c>
      <c r="P913" t="s">
        <v>27</v>
      </c>
      <c r="Q913">
        <v>0.1873373807458803</v>
      </c>
      <c r="R913" t="s">
        <v>28</v>
      </c>
      <c r="S913">
        <v>12.989779501851851</v>
      </c>
      <c r="T913">
        <v>0.32596403935316071</v>
      </c>
      <c r="U913" t="s">
        <v>34</v>
      </c>
      <c r="V913">
        <v>0</v>
      </c>
    </row>
    <row r="914" spans="1:22" x14ac:dyDescent="0.3">
      <c r="A914" s="1">
        <v>45214</v>
      </c>
      <c r="B914" t="s">
        <v>22</v>
      </c>
      <c r="C914" t="s">
        <v>41</v>
      </c>
      <c r="D914" t="s">
        <v>46</v>
      </c>
      <c r="E914" t="s">
        <v>33</v>
      </c>
      <c r="F914" t="s">
        <v>26</v>
      </c>
      <c r="G914">
        <v>413</v>
      </c>
      <c r="H914">
        <v>1020</v>
      </c>
      <c r="I914">
        <v>1926.0013630000001</v>
      </c>
      <c r="J914" t="b">
        <v>1</v>
      </c>
      <c r="K914">
        <v>19</v>
      </c>
      <c r="L914" t="b">
        <v>0</v>
      </c>
      <c r="M914">
        <v>63958.228819999997</v>
      </c>
      <c r="N914">
        <v>1966</v>
      </c>
      <c r="O914">
        <v>6607</v>
      </c>
      <c r="P914" t="s">
        <v>36</v>
      </c>
      <c r="Q914">
        <v>0.21007121057985759</v>
      </c>
      <c r="R914" t="s">
        <v>37</v>
      </c>
      <c r="S914">
        <v>4.663441556900727</v>
      </c>
      <c r="T914">
        <v>0.29756319055547148</v>
      </c>
      <c r="U914" t="s">
        <v>34</v>
      </c>
      <c r="V914">
        <v>0</v>
      </c>
    </row>
    <row r="915" spans="1:22" x14ac:dyDescent="0.3">
      <c r="A915" s="1">
        <v>45213</v>
      </c>
      <c r="B915" t="s">
        <v>22</v>
      </c>
      <c r="C915" t="s">
        <v>31</v>
      </c>
      <c r="D915" t="s">
        <v>35</v>
      </c>
      <c r="E915" t="s">
        <v>25</v>
      </c>
      <c r="F915" t="s">
        <v>43</v>
      </c>
      <c r="G915">
        <v>311</v>
      </c>
      <c r="H915">
        <v>2912</v>
      </c>
      <c r="I915">
        <v>8814.7614680000006</v>
      </c>
      <c r="J915" t="b">
        <v>1</v>
      </c>
      <c r="K915">
        <v>18</v>
      </c>
      <c r="L915" t="b">
        <v>0</v>
      </c>
      <c r="M915">
        <v>40038.01629</v>
      </c>
      <c r="N915">
        <v>3393.5</v>
      </c>
      <c r="O915">
        <v>7501</v>
      </c>
      <c r="P915" t="s">
        <v>36</v>
      </c>
      <c r="Q915">
        <v>9.1645793428613523E-2</v>
      </c>
      <c r="R915" t="s">
        <v>37</v>
      </c>
      <c r="S915">
        <v>28.34328446302251</v>
      </c>
      <c r="T915">
        <v>0.45240634582055728</v>
      </c>
      <c r="U915" t="s">
        <v>29</v>
      </c>
      <c r="V915">
        <v>0</v>
      </c>
    </row>
    <row r="916" spans="1:22" x14ac:dyDescent="0.3">
      <c r="A916" s="1">
        <v>45212</v>
      </c>
      <c r="B916" t="s">
        <v>30</v>
      </c>
      <c r="C916" t="s">
        <v>31</v>
      </c>
      <c r="D916" t="s">
        <v>24</v>
      </c>
      <c r="E916" t="s">
        <v>25</v>
      </c>
      <c r="F916" t="s">
        <v>26</v>
      </c>
      <c r="G916">
        <v>705</v>
      </c>
      <c r="H916">
        <v>3875</v>
      </c>
      <c r="I916">
        <v>1635.3742219999999</v>
      </c>
      <c r="J916" t="b">
        <v>1</v>
      </c>
      <c r="K916">
        <v>12</v>
      </c>
      <c r="L916" t="b">
        <v>0</v>
      </c>
      <c r="M916">
        <v>136692.5232</v>
      </c>
      <c r="N916">
        <v>3986.5</v>
      </c>
      <c r="O916">
        <v>9306</v>
      </c>
      <c r="P916" t="s">
        <v>36</v>
      </c>
      <c r="Q916">
        <v>0.17684685814624357</v>
      </c>
      <c r="R916" t="s">
        <v>28</v>
      </c>
      <c r="S916">
        <v>2.3196797475177302</v>
      </c>
      <c r="T916">
        <v>0.42837954008166773</v>
      </c>
      <c r="U916" t="s">
        <v>29</v>
      </c>
      <c r="V916">
        <v>0</v>
      </c>
    </row>
    <row r="917" spans="1:22" x14ac:dyDescent="0.3">
      <c r="A917" s="1">
        <v>45211</v>
      </c>
      <c r="B917" t="s">
        <v>38</v>
      </c>
      <c r="C917" t="s">
        <v>31</v>
      </c>
      <c r="D917" t="s">
        <v>46</v>
      </c>
      <c r="E917" t="s">
        <v>45</v>
      </c>
      <c r="F917" t="s">
        <v>26</v>
      </c>
      <c r="G917">
        <v>907</v>
      </c>
      <c r="H917">
        <v>4098</v>
      </c>
      <c r="I917">
        <v>3657.3562200000001</v>
      </c>
      <c r="J917" t="b">
        <v>1</v>
      </c>
      <c r="K917">
        <v>11</v>
      </c>
      <c r="L917" t="b">
        <v>0</v>
      </c>
      <c r="M917">
        <v>88231.002290000004</v>
      </c>
      <c r="N917">
        <v>3094</v>
      </c>
      <c r="O917">
        <v>9925</v>
      </c>
      <c r="P917" t="s">
        <v>27</v>
      </c>
      <c r="Q917">
        <v>0.2931480284421461</v>
      </c>
      <c r="R917" t="s">
        <v>28</v>
      </c>
      <c r="S917">
        <v>4.0323662844542447</v>
      </c>
      <c r="T917">
        <v>0.31173803526448363</v>
      </c>
      <c r="U917" t="s">
        <v>34</v>
      </c>
      <c r="V917">
        <v>0</v>
      </c>
    </row>
    <row r="918" spans="1:22" x14ac:dyDescent="0.3">
      <c r="A918" s="1">
        <v>45210</v>
      </c>
      <c r="B918" t="s">
        <v>30</v>
      </c>
      <c r="C918" t="s">
        <v>41</v>
      </c>
      <c r="D918" t="s">
        <v>24</v>
      </c>
      <c r="E918" t="s">
        <v>25</v>
      </c>
      <c r="F918" t="s">
        <v>43</v>
      </c>
      <c r="G918">
        <v>236</v>
      </c>
      <c r="H918">
        <v>2090</v>
      </c>
      <c r="I918">
        <v>7593.9634910000004</v>
      </c>
      <c r="J918" t="b">
        <v>1</v>
      </c>
      <c r="K918">
        <v>6</v>
      </c>
      <c r="L918" t="b">
        <v>0</v>
      </c>
      <c r="M918">
        <v>28517.69543</v>
      </c>
      <c r="N918">
        <v>2369.5</v>
      </c>
      <c r="O918">
        <v>9804</v>
      </c>
      <c r="P918" t="s">
        <v>36</v>
      </c>
      <c r="Q918">
        <v>9.9599071534078917E-2</v>
      </c>
      <c r="R918" t="s">
        <v>40</v>
      </c>
      <c r="S918">
        <v>32.177811402542375</v>
      </c>
      <c r="T918">
        <v>0.24168706650346797</v>
      </c>
      <c r="U918" t="s">
        <v>34</v>
      </c>
      <c r="V918">
        <v>0</v>
      </c>
    </row>
    <row r="919" spans="1:22" x14ac:dyDescent="0.3">
      <c r="A919" s="1">
        <v>45209</v>
      </c>
      <c r="B919" t="s">
        <v>38</v>
      </c>
      <c r="C919" t="s">
        <v>44</v>
      </c>
      <c r="D919" t="s">
        <v>32</v>
      </c>
      <c r="E919" t="s">
        <v>33</v>
      </c>
      <c r="F919" t="s">
        <v>26</v>
      </c>
      <c r="G919">
        <v>532</v>
      </c>
      <c r="H919">
        <v>2649</v>
      </c>
      <c r="I919">
        <v>7001.0238230000004</v>
      </c>
      <c r="J919" t="b">
        <v>1</v>
      </c>
      <c r="K919">
        <v>7</v>
      </c>
      <c r="L919" t="b">
        <v>1</v>
      </c>
      <c r="M919">
        <v>50556.082750000001</v>
      </c>
      <c r="N919">
        <v>1927</v>
      </c>
      <c r="O919">
        <v>9784</v>
      </c>
      <c r="P919" t="s">
        <v>27</v>
      </c>
      <c r="Q919">
        <v>0.2760768033212247</v>
      </c>
      <c r="R919" t="s">
        <v>40</v>
      </c>
      <c r="S919">
        <v>13.159819216165415</v>
      </c>
      <c r="T919">
        <v>0.19695421095666393</v>
      </c>
      <c r="U919" t="s">
        <v>34</v>
      </c>
      <c r="V919">
        <v>1</v>
      </c>
    </row>
    <row r="920" spans="1:22" x14ac:dyDescent="0.3">
      <c r="A920" s="1">
        <v>45208</v>
      </c>
      <c r="B920" t="s">
        <v>42</v>
      </c>
      <c r="C920" t="s">
        <v>41</v>
      </c>
      <c r="D920" t="s">
        <v>35</v>
      </c>
      <c r="E920" t="s">
        <v>33</v>
      </c>
      <c r="F920" t="s">
        <v>26</v>
      </c>
      <c r="G920">
        <v>579</v>
      </c>
      <c r="H920">
        <v>1205</v>
      </c>
      <c r="I920">
        <v>12348.05294</v>
      </c>
      <c r="J920" t="b">
        <v>1</v>
      </c>
      <c r="K920">
        <v>8</v>
      </c>
      <c r="L920" t="b">
        <v>0</v>
      </c>
      <c r="M920">
        <v>76675.525550000006</v>
      </c>
      <c r="N920">
        <v>1096.5</v>
      </c>
      <c r="O920">
        <v>5172</v>
      </c>
      <c r="P920" t="s">
        <v>27</v>
      </c>
      <c r="Q920">
        <v>0.52804377564979477</v>
      </c>
      <c r="R920" t="s">
        <v>28</v>
      </c>
      <c r="S920">
        <v>21.326516303972365</v>
      </c>
      <c r="T920">
        <v>0.21200696055684454</v>
      </c>
      <c r="U920" t="s">
        <v>34</v>
      </c>
      <c r="V920">
        <v>0</v>
      </c>
    </row>
    <row r="921" spans="1:22" x14ac:dyDescent="0.3">
      <c r="A921" s="1">
        <v>45207</v>
      </c>
      <c r="B921" t="s">
        <v>42</v>
      </c>
      <c r="C921" t="s">
        <v>31</v>
      </c>
      <c r="D921" t="s">
        <v>24</v>
      </c>
      <c r="E921" t="s">
        <v>25</v>
      </c>
      <c r="F921" t="s">
        <v>43</v>
      </c>
      <c r="G921">
        <v>804</v>
      </c>
      <c r="H921">
        <v>988</v>
      </c>
      <c r="I921">
        <v>12927.90562</v>
      </c>
      <c r="J921" t="b">
        <v>1</v>
      </c>
      <c r="K921">
        <v>29</v>
      </c>
      <c r="L921" t="b">
        <v>0</v>
      </c>
      <c r="M921">
        <v>20734.957920000001</v>
      </c>
      <c r="N921">
        <v>1734.5</v>
      </c>
      <c r="O921">
        <v>7497</v>
      </c>
      <c r="P921" t="s">
        <v>36</v>
      </c>
      <c r="Q921">
        <v>0.46353415970020179</v>
      </c>
      <c r="R921" t="s">
        <v>37</v>
      </c>
      <c r="S921">
        <v>16.07948460199005</v>
      </c>
      <c r="T921">
        <v>0.23135921035080698</v>
      </c>
      <c r="U921" t="s">
        <v>34</v>
      </c>
      <c r="V921">
        <v>0</v>
      </c>
    </row>
    <row r="922" spans="1:22" x14ac:dyDescent="0.3">
      <c r="A922" s="1">
        <v>45206</v>
      </c>
      <c r="B922" t="s">
        <v>38</v>
      </c>
      <c r="C922" t="s">
        <v>23</v>
      </c>
      <c r="D922" t="s">
        <v>35</v>
      </c>
      <c r="E922" t="s">
        <v>33</v>
      </c>
      <c r="F922" t="s">
        <v>43</v>
      </c>
      <c r="G922">
        <v>290</v>
      </c>
      <c r="H922">
        <v>2481</v>
      </c>
      <c r="I922">
        <v>3742.382987</v>
      </c>
      <c r="J922" t="b">
        <v>1</v>
      </c>
      <c r="K922">
        <v>29</v>
      </c>
      <c r="L922" t="b">
        <v>1</v>
      </c>
      <c r="M922">
        <v>31372.453460000001</v>
      </c>
      <c r="N922">
        <v>3377.5</v>
      </c>
      <c r="O922">
        <v>5743</v>
      </c>
      <c r="P922" t="s">
        <v>36</v>
      </c>
      <c r="Q922">
        <v>8.5862324204293114E-2</v>
      </c>
      <c r="R922" t="s">
        <v>37</v>
      </c>
      <c r="S922">
        <v>12.904768920689655</v>
      </c>
      <c r="T922">
        <v>0.5881072610134076</v>
      </c>
      <c r="U922" t="s">
        <v>29</v>
      </c>
      <c r="V922">
        <v>1</v>
      </c>
    </row>
    <row r="923" spans="1:22" x14ac:dyDescent="0.3">
      <c r="A923" s="1">
        <v>45205</v>
      </c>
      <c r="B923" t="s">
        <v>22</v>
      </c>
      <c r="C923" t="s">
        <v>44</v>
      </c>
      <c r="D923" t="s">
        <v>35</v>
      </c>
      <c r="E923" t="s">
        <v>25</v>
      </c>
      <c r="F923" t="s">
        <v>26</v>
      </c>
      <c r="G923">
        <v>833</v>
      </c>
      <c r="H923">
        <v>4274</v>
      </c>
      <c r="I923">
        <v>4487.8592010000002</v>
      </c>
      <c r="J923" t="b">
        <v>0</v>
      </c>
      <c r="K923">
        <v>20</v>
      </c>
      <c r="L923" t="b">
        <v>1</v>
      </c>
      <c r="M923">
        <v>106310.7742</v>
      </c>
      <c r="N923">
        <v>2459.5</v>
      </c>
      <c r="O923">
        <v>5586</v>
      </c>
      <c r="P923" t="s">
        <v>27</v>
      </c>
      <c r="Q923">
        <v>0.33868672494409435</v>
      </c>
      <c r="R923" t="s">
        <v>37</v>
      </c>
      <c r="S923">
        <v>5.387586075630252</v>
      </c>
      <c r="T923">
        <v>0.440297171500179</v>
      </c>
      <c r="U923" t="s">
        <v>29</v>
      </c>
      <c r="V923">
        <v>1</v>
      </c>
    </row>
    <row r="924" spans="1:22" x14ac:dyDescent="0.3">
      <c r="A924" s="1">
        <v>45204</v>
      </c>
      <c r="B924" t="s">
        <v>38</v>
      </c>
      <c r="C924" t="s">
        <v>23</v>
      </c>
      <c r="D924" t="s">
        <v>46</v>
      </c>
      <c r="E924" t="s">
        <v>25</v>
      </c>
      <c r="F924" t="s">
        <v>26</v>
      </c>
      <c r="G924">
        <v>380</v>
      </c>
      <c r="H924">
        <v>645</v>
      </c>
      <c r="I924">
        <v>13362.119790000001</v>
      </c>
      <c r="J924" t="b">
        <v>1</v>
      </c>
      <c r="K924">
        <v>5</v>
      </c>
      <c r="L924" t="b">
        <v>0</v>
      </c>
      <c r="M924">
        <v>55719.957060000001</v>
      </c>
      <c r="N924">
        <v>884.5</v>
      </c>
      <c r="O924">
        <v>8012</v>
      </c>
      <c r="P924" t="s">
        <v>36</v>
      </c>
      <c r="Q924">
        <v>0.42962125494629733</v>
      </c>
      <c r="R924" t="s">
        <v>40</v>
      </c>
      <c r="S924">
        <v>35.163473131578947</v>
      </c>
      <c r="T924">
        <v>0.11039690464303545</v>
      </c>
      <c r="U924" t="s">
        <v>34</v>
      </c>
      <c r="V924">
        <v>0</v>
      </c>
    </row>
    <row r="925" spans="1:22" x14ac:dyDescent="0.3">
      <c r="A925" s="1">
        <v>45203</v>
      </c>
      <c r="B925" t="s">
        <v>22</v>
      </c>
      <c r="C925" t="s">
        <v>31</v>
      </c>
      <c r="D925" t="s">
        <v>24</v>
      </c>
      <c r="E925" t="s">
        <v>45</v>
      </c>
      <c r="F925" t="s">
        <v>39</v>
      </c>
      <c r="G925">
        <v>103</v>
      </c>
      <c r="H925">
        <v>1124</v>
      </c>
      <c r="I925">
        <v>2411.1990340000002</v>
      </c>
      <c r="J925" t="b">
        <v>1</v>
      </c>
      <c r="K925">
        <v>2</v>
      </c>
      <c r="L925" t="b">
        <v>0</v>
      </c>
      <c r="M925">
        <v>16205.45247</v>
      </c>
      <c r="N925">
        <v>3036</v>
      </c>
      <c r="O925">
        <v>6929</v>
      </c>
      <c r="P925" t="s">
        <v>36</v>
      </c>
      <c r="Q925">
        <v>3.3926218708827408E-2</v>
      </c>
      <c r="R925" t="s">
        <v>40</v>
      </c>
      <c r="S925">
        <v>23.409699359223303</v>
      </c>
      <c r="T925">
        <v>0.43815846442488093</v>
      </c>
      <c r="U925" t="s">
        <v>29</v>
      </c>
      <c r="V925">
        <v>0</v>
      </c>
    </row>
    <row r="926" spans="1:22" x14ac:dyDescent="0.3">
      <c r="A926" s="1">
        <v>45202</v>
      </c>
      <c r="B926" t="s">
        <v>42</v>
      </c>
      <c r="C926" t="s">
        <v>23</v>
      </c>
      <c r="D926" t="s">
        <v>24</v>
      </c>
      <c r="E926" t="s">
        <v>33</v>
      </c>
      <c r="F926" t="s">
        <v>26</v>
      </c>
      <c r="G926">
        <v>859</v>
      </c>
      <c r="H926">
        <v>4948</v>
      </c>
      <c r="I926">
        <v>3781.0213450000001</v>
      </c>
      <c r="J926" t="b">
        <v>0</v>
      </c>
      <c r="K926">
        <v>14</v>
      </c>
      <c r="L926" t="b">
        <v>0</v>
      </c>
      <c r="M926">
        <v>25524.804510000002</v>
      </c>
      <c r="N926">
        <v>3477.5</v>
      </c>
      <c r="O926">
        <v>7497</v>
      </c>
      <c r="P926" t="s">
        <v>27</v>
      </c>
      <c r="Q926">
        <v>0.24701653486700215</v>
      </c>
      <c r="R926" t="s">
        <v>28</v>
      </c>
      <c r="S926">
        <v>4.4016546507566936</v>
      </c>
      <c r="T926">
        <v>0.46385220754968653</v>
      </c>
      <c r="U926" t="s">
        <v>29</v>
      </c>
      <c r="V926">
        <v>0</v>
      </c>
    </row>
    <row r="927" spans="1:22" x14ac:dyDescent="0.3">
      <c r="A927" s="1">
        <v>45201</v>
      </c>
      <c r="B927" t="s">
        <v>22</v>
      </c>
      <c r="C927" t="s">
        <v>23</v>
      </c>
      <c r="D927" t="s">
        <v>35</v>
      </c>
      <c r="E927" t="s">
        <v>45</v>
      </c>
      <c r="F927" t="s">
        <v>26</v>
      </c>
      <c r="G927">
        <v>170</v>
      </c>
      <c r="H927">
        <v>2007</v>
      </c>
      <c r="I927">
        <v>10441.950360000001</v>
      </c>
      <c r="J927" t="b">
        <v>1</v>
      </c>
      <c r="K927">
        <v>19</v>
      </c>
      <c r="L927" t="b">
        <v>0</v>
      </c>
      <c r="M927">
        <v>14676.64033</v>
      </c>
      <c r="N927">
        <v>1693</v>
      </c>
      <c r="O927">
        <v>5376</v>
      </c>
      <c r="P927" t="s">
        <v>27</v>
      </c>
      <c r="Q927">
        <v>0.10041346721795628</v>
      </c>
      <c r="R927" t="s">
        <v>37</v>
      </c>
      <c r="S927">
        <v>61.42323741176471</v>
      </c>
      <c r="T927">
        <v>0.31491815476190477</v>
      </c>
      <c r="U927" t="s">
        <v>34</v>
      </c>
      <c r="V927">
        <v>0</v>
      </c>
    </row>
    <row r="928" spans="1:22" x14ac:dyDescent="0.3">
      <c r="A928" s="1">
        <v>45200</v>
      </c>
      <c r="B928" t="s">
        <v>42</v>
      </c>
      <c r="C928" t="s">
        <v>44</v>
      </c>
      <c r="D928" t="s">
        <v>35</v>
      </c>
      <c r="E928" t="s">
        <v>45</v>
      </c>
      <c r="F928" t="s">
        <v>26</v>
      </c>
      <c r="G928">
        <v>893</v>
      </c>
      <c r="H928">
        <v>1379</v>
      </c>
      <c r="I928">
        <v>7271.7590650000002</v>
      </c>
      <c r="J928" t="b">
        <v>1</v>
      </c>
      <c r="K928">
        <v>20</v>
      </c>
      <c r="L928" t="b">
        <v>0</v>
      </c>
      <c r="M928">
        <v>168848.71040000001</v>
      </c>
      <c r="N928">
        <v>1715</v>
      </c>
      <c r="O928">
        <v>8218</v>
      </c>
      <c r="P928" t="s">
        <v>36</v>
      </c>
      <c r="Q928">
        <v>0.52069970845481051</v>
      </c>
      <c r="R928" t="s">
        <v>37</v>
      </c>
      <c r="S928">
        <v>8.1430672620380733</v>
      </c>
      <c r="T928">
        <v>0.20868824531516184</v>
      </c>
      <c r="U928" t="s">
        <v>34</v>
      </c>
      <c r="V928">
        <v>0</v>
      </c>
    </row>
    <row r="929" spans="1:22" x14ac:dyDescent="0.3">
      <c r="A929" s="1">
        <v>45199</v>
      </c>
      <c r="B929" t="s">
        <v>42</v>
      </c>
      <c r="C929" t="s">
        <v>41</v>
      </c>
      <c r="D929" t="s">
        <v>46</v>
      </c>
      <c r="E929" t="s">
        <v>33</v>
      </c>
      <c r="F929" t="s">
        <v>43</v>
      </c>
      <c r="G929">
        <v>307</v>
      </c>
      <c r="H929">
        <v>2051</v>
      </c>
      <c r="I929">
        <v>599.1908482</v>
      </c>
      <c r="J929" t="b">
        <v>1</v>
      </c>
      <c r="K929">
        <v>9</v>
      </c>
      <c r="L929" t="b">
        <v>0</v>
      </c>
      <c r="M929">
        <v>23661.466069999999</v>
      </c>
      <c r="N929">
        <v>1937.5</v>
      </c>
      <c r="O929">
        <v>7033</v>
      </c>
      <c r="P929" t="s">
        <v>27</v>
      </c>
      <c r="Q929">
        <v>0.15845161290322582</v>
      </c>
      <c r="R929" t="s">
        <v>28</v>
      </c>
      <c r="S929">
        <v>1.9517617205211726</v>
      </c>
      <c r="T929">
        <v>0.2754869899047348</v>
      </c>
      <c r="U929" t="s">
        <v>34</v>
      </c>
      <c r="V929">
        <v>0</v>
      </c>
    </row>
    <row r="930" spans="1:22" x14ac:dyDescent="0.3">
      <c r="A930" s="1">
        <v>45198</v>
      </c>
      <c r="B930" t="s">
        <v>42</v>
      </c>
      <c r="C930" t="s">
        <v>44</v>
      </c>
      <c r="D930" t="s">
        <v>32</v>
      </c>
      <c r="E930" t="s">
        <v>33</v>
      </c>
      <c r="F930" t="s">
        <v>26</v>
      </c>
      <c r="G930">
        <v>625</v>
      </c>
      <c r="H930">
        <v>1824</v>
      </c>
      <c r="I930">
        <v>3159.6428310000001</v>
      </c>
      <c r="J930" t="b">
        <v>1</v>
      </c>
      <c r="K930">
        <v>29</v>
      </c>
      <c r="L930" t="b">
        <v>0</v>
      </c>
      <c r="M930">
        <v>117504.74370000001</v>
      </c>
      <c r="N930">
        <v>1137.5</v>
      </c>
      <c r="O930">
        <v>8467</v>
      </c>
      <c r="P930" t="s">
        <v>27</v>
      </c>
      <c r="Q930">
        <v>0.5494505494505495</v>
      </c>
      <c r="R930" t="s">
        <v>37</v>
      </c>
      <c r="S930">
        <v>5.0554285296000003</v>
      </c>
      <c r="T930">
        <v>0.13434510452344395</v>
      </c>
      <c r="U930" t="s">
        <v>34</v>
      </c>
      <c r="V930">
        <v>0</v>
      </c>
    </row>
    <row r="931" spans="1:22" x14ac:dyDescent="0.3">
      <c r="A931" s="1">
        <v>45197</v>
      </c>
      <c r="B931" t="s">
        <v>38</v>
      </c>
      <c r="C931" t="s">
        <v>41</v>
      </c>
      <c r="D931" t="s">
        <v>35</v>
      </c>
      <c r="E931" t="s">
        <v>33</v>
      </c>
      <c r="F931" t="s">
        <v>26</v>
      </c>
      <c r="G931">
        <v>943</v>
      </c>
      <c r="H931">
        <v>451</v>
      </c>
      <c r="I931">
        <v>5455.3582139999999</v>
      </c>
      <c r="J931" t="b">
        <v>1</v>
      </c>
      <c r="K931">
        <v>10</v>
      </c>
      <c r="L931" t="b">
        <v>0</v>
      </c>
      <c r="M931">
        <v>146359.73319999999</v>
      </c>
      <c r="N931">
        <v>767</v>
      </c>
      <c r="O931">
        <v>8347</v>
      </c>
      <c r="P931" t="s">
        <v>36</v>
      </c>
      <c r="Q931">
        <v>1.2294654498044328</v>
      </c>
      <c r="R931" t="s">
        <v>28</v>
      </c>
      <c r="S931">
        <v>5.7851094528101799</v>
      </c>
      <c r="T931">
        <v>9.1889301545465443E-2</v>
      </c>
      <c r="U931" t="s">
        <v>34</v>
      </c>
      <c r="V931">
        <v>0</v>
      </c>
    </row>
    <row r="932" spans="1:22" x14ac:dyDescent="0.3">
      <c r="A932" s="1">
        <v>45196</v>
      </c>
      <c r="B932" t="s">
        <v>30</v>
      </c>
      <c r="C932" t="s">
        <v>41</v>
      </c>
      <c r="D932" t="s">
        <v>35</v>
      </c>
      <c r="E932" t="s">
        <v>25</v>
      </c>
      <c r="F932" t="s">
        <v>26</v>
      </c>
      <c r="G932">
        <v>497</v>
      </c>
      <c r="H932">
        <v>1083</v>
      </c>
      <c r="I932">
        <v>6659.3584520000004</v>
      </c>
      <c r="J932" t="b">
        <v>1</v>
      </c>
      <c r="K932">
        <v>20</v>
      </c>
      <c r="L932" t="b">
        <v>0</v>
      </c>
      <c r="M932">
        <v>91746.221260000006</v>
      </c>
      <c r="N932">
        <v>2990</v>
      </c>
      <c r="O932">
        <v>7734</v>
      </c>
      <c r="P932" t="s">
        <v>36</v>
      </c>
      <c r="Q932">
        <v>0.16622073578595317</v>
      </c>
      <c r="R932" t="s">
        <v>37</v>
      </c>
      <c r="S932">
        <v>13.399111573440644</v>
      </c>
      <c r="T932">
        <v>0.3866046030514611</v>
      </c>
      <c r="U932" t="s">
        <v>34</v>
      </c>
      <c r="V932">
        <v>0</v>
      </c>
    </row>
    <row r="933" spans="1:22" x14ac:dyDescent="0.3">
      <c r="A933" s="1">
        <v>45195</v>
      </c>
      <c r="B933" t="s">
        <v>30</v>
      </c>
      <c r="C933" t="s">
        <v>23</v>
      </c>
      <c r="D933" t="s">
        <v>24</v>
      </c>
      <c r="E933" t="s">
        <v>33</v>
      </c>
      <c r="F933" t="s">
        <v>26</v>
      </c>
      <c r="G933">
        <v>770</v>
      </c>
      <c r="H933">
        <v>4897</v>
      </c>
      <c r="I933">
        <v>2538.5828139999999</v>
      </c>
      <c r="J933" t="b">
        <v>1</v>
      </c>
      <c r="K933">
        <v>3</v>
      </c>
      <c r="L933" t="b">
        <v>0</v>
      </c>
      <c r="M933">
        <v>40333.629780000003</v>
      </c>
      <c r="N933">
        <v>4739.5</v>
      </c>
      <c r="O933">
        <v>9508</v>
      </c>
      <c r="P933" t="s">
        <v>27</v>
      </c>
      <c r="Q933">
        <v>0.16246439497837326</v>
      </c>
      <c r="R933" t="s">
        <v>40</v>
      </c>
      <c r="S933">
        <v>3.2968607974025974</v>
      </c>
      <c r="T933">
        <v>0.49847496844762307</v>
      </c>
      <c r="U933" t="s">
        <v>29</v>
      </c>
      <c r="V933">
        <v>0</v>
      </c>
    </row>
    <row r="934" spans="1:22" x14ac:dyDescent="0.3">
      <c r="A934" s="1">
        <v>45194</v>
      </c>
      <c r="B934" t="s">
        <v>42</v>
      </c>
      <c r="C934" t="s">
        <v>44</v>
      </c>
      <c r="D934" t="s">
        <v>32</v>
      </c>
      <c r="E934" t="s">
        <v>25</v>
      </c>
      <c r="F934" t="s">
        <v>26</v>
      </c>
      <c r="G934">
        <v>552</v>
      </c>
      <c r="H934">
        <v>4582</v>
      </c>
      <c r="I934">
        <v>7902.5437890000003</v>
      </c>
      <c r="J934" t="b">
        <v>1</v>
      </c>
      <c r="K934">
        <v>23</v>
      </c>
      <c r="L934" t="b">
        <v>0</v>
      </c>
      <c r="M934">
        <v>84830.769010000004</v>
      </c>
      <c r="N934">
        <v>4172</v>
      </c>
      <c r="O934">
        <v>9016</v>
      </c>
      <c r="P934" t="s">
        <v>27</v>
      </c>
      <c r="Q934">
        <v>0.13231064237775647</v>
      </c>
      <c r="R934" t="s">
        <v>37</v>
      </c>
      <c r="S934">
        <v>14.316202516304349</v>
      </c>
      <c r="T934">
        <v>0.46273291925465837</v>
      </c>
      <c r="U934" t="s">
        <v>29</v>
      </c>
      <c r="V934">
        <v>0</v>
      </c>
    </row>
    <row r="935" spans="1:22" x14ac:dyDescent="0.3">
      <c r="A935" s="1">
        <v>45193</v>
      </c>
      <c r="B935" t="s">
        <v>42</v>
      </c>
      <c r="C935" t="s">
        <v>44</v>
      </c>
      <c r="D935" t="s">
        <v>32</v>
      </c>
      <c r="E935" t="s">
        <v>25</v>
      </c>
      <c r="F935" t="s">
        <v>26</v>
      </c>
      <c r="G935">
        <v>952</v>
      </c>
      <c r="H935">
        <v>3762</v>
      </c>
      <c r="I935">
        <v>6749.2640680000004</v>
      </c>
      <c r="J935" t="b">
        <v>1</v>
      </c>
      <c r="K935">
        <v>10</v>
      </c>
      <c r="L935" t="b">
        <v>0</v>
      </c>
      <c r="M935">
        <v>136753.75659999999</v>
      </c>
      <c r="N935">
        <v>3078</v>
      </c>
      <c r="O935">
        <v>5127</v>
      </c>
      <c r="P935" t="s">
        <v>27</v>
      </c>
      <c r="Q935">
        <v>0.3092917478882391</v>
      </c>
      <c r="R935" t="s">
        <v>28</v>
      </c>
      <c r="S935">
        <v>7.0895630966386562</v>
      </c>
      <c r="T935">
        <v>0.60035108250438851</v>
      </c>
      <c r="U935" t="s">
        <v>29</v>
      </c>
      <c r="V935">
        <v>0</v>
      </c>
    </row>
    <row r="936" spans="1:22" x14ac:dyDescent="0.3">
      <c r="A936" s="1">
        <v>45192</v>
      </c>
      <c r="B936" t="s">
        <v>38</v>
      </c>
      <c r="C936" t="s">
        <v>44</v>
      </c>
      <c r="D936" t="s">
        <v>24</v>
      </c>
      <c r="E936" t="s">
        <v>25</v>
      </c>
      <c r="F936" t="s">
        <v>43</v>
      </c>
      <c r="G936">
        <v>734</v>
      </c>
      <c r="H936">
        <v>2394</v>
      </c>
      <c r="I936">
        <v>2996.8634520000001</v>
      </c>
      <c r="J936" t="b">
        <v>1</v>
      </c>
      <c r="K936">
        <v>10</v>
      </c>
      <c r="L936" t="b">
        <v>0</v>
      </c>
      <c r="M936">
        <v>47742.54449</v>
      </c>
      <c r="N936">
        <v>3575.5</v>
      </c>
      <c r="O936">
        <v>6988</v>
      </c>
      <c r="P936" t="s">
        <v>36</v>
      </c>
      <c r="Q936">
        <v>0.20528597398965179</v>
      </c>
      <c r="R936" t="s">
        <v>28</v>
      </c>
      <c r="S936">
        <v>4.0829202343324251</v>
      </c>
      <c r="T936">
        <v>0.51166285060103034</v>
      </c>
      <c r="U936" t="s">
        <v>29</v>
      </c>
      <c r="V936">
        <v>0</v>
      </c>
    </row>
    <row r="937" spans="1:22" x14ac:dyDescent="0.3">
      <c r="A937" s="1">
        <v>45191</v>
      </c>
      <c r="B937" t="s">
        <v>30</v>
      </c>
      <c r="C937" t="s">
        <v>31</v>
      </c>
      <c r="D937" t="s">
        <v>46</v>
      </c>
      <c r="E937" t="s">
        <v>25</v>
      </c>
      <c r="F937" t="s">
        <v>26</v>
      </c>
      <c r="G937">
        <v>263</v>
      </c>
      <c r="H937">
        <v>4757</v>
      </c>
      <c r="I937">
        <v>1990.139518</v>
      </c>
      <c r="J937" t="b">
        <v>1</v>
      </c>
      <c r="K937">
        <v>21</v>
      </c>
      <c r="L937" t="b">
        <v>0</v>
      </c>
      <c r="M937">
        <v>25874.937959999999</v>
      </c>
      <c r="N937">
        <v>3231</v>
      </c>
      <c r="O937">
        <v>7138</v>
      </c>
      <c r="P937" t="s">
        <v>27</v>
      </c>
      <c r="Q937">
        <v>8.1398947694212312E-2</v>
      </c>
      <c r="R937" t="s">
        <v>37</v>
      </c>
      <c r="S937">
        <v>7.5670704106463873</v>
      </c>
      <c r="T937">
        <v>0.45264780050434295</v>
      </c>
      <c r="U937" t="s">
        <v>29</v>
      </c>
      <c r="V937">
        <v>0</v>
      </c>
    </row>
    <row r="938" spans="1:22" x14ac:dyDescent="0.3">
      <c r="A938" s="1">
        <v>45190</v>
      </c>
      <c r="B938" t="s">
        <v>22</v>
      </c>
      <c r="C938" t="s">
        <v>31</v>
      </c>
      <c r="D938" t="s">
        <v>35</v>
      </c>
      <c r="E938" t="s">
        <v>25</v>
      </c>
      <c r="F938" t="s">
        <v>43</v>
      </c>
      <c r="G938">
        <v>454</v>
      </c>
      <c r="H938">
        <v>1705</v>
      </c>
      <c r="I938">
        <v>756.21564950000004</v>
      </c>
      <c r="J938" t="b">
        <v>1</v>
      </c>
      <c r="K938">
        <v>12</v>
      </c>
      <c r="L938" t="b">
        <v>0</v>
      </c>
      <c r="M938">
        <v>66951.646009999997</v>
      </c>
      <c r="N938">
        <v>2477.5</v>
      </c>
      <c r="O938">
        <v>6873</v>
      </c>
      <c r="P938" t="s">
        <v>36</v>
      </c>
      <c r="Q938">
        <v>0.18324924318869829</v>
      </c>
      <c r="R938" t="s">
        <v>28</v>
      </c>
      <c r="S938">
        <v>1.6656732367841411</v>
      </c>
      <c r="T938">
        <v>0.36046849992725155</v>
      </c>
      <c r="U938" t="s">
        <v>34</v>
      </c>
      <c r="V938">
        <v>0</v>
      </c>
    </row>
    <row r="939" spans="1:22" x14ac:dyDescent="0.3">
      <c r="A939" s="1">
        <v>45189</v>
      </c>
      <c r="B939" t="s">
        <v>22</v>
      </c>
      <c r="C939" t="s">
        <v>41</v>
      </c>
      <c r="D939" t="s">
        <v>46</v>
      </c>
      <c r="E939" t="s">
        <v>45</v>
      </c>
      <c r="F939" t="s">
        <v>39</v>
      </c>
      <c r="G939">
        <v>646</v>
      </c>
      <c r="H939">
        <v>3250</v>
      </c>
      <c r="I939">
        <v>1293.051031</v>
      </c>
      <c r="J939" t="b">
        <v>1</v>
      </c>
      <c r="K939">
        <v>10</v>
      </c>
      <c r="L939" t="b">
        <v>1</v>
      </c>
      <c r="M939">
        <v>30061.158479999998</v>
      </c>
      <c r="N939">
        <v>3459.5</v>
      </c>
      <c r="O939">
        <v>6068</v>
      </c>
      <c r="P939" t="s">
        <v>36</v>
      </c>
      <c r="Q939">
        <v>0.18673218673218672</v>
      </c>
      <c r="R939" t="s">
        <v>28</v>
      </c>
      <c r="S939">
        <v>2.001626982972136</v>
      </c>
      <c r="T939">
        <v>0.57012195121951215</v>
      </c>
      <c r="U939" t="s">
        <v>29</v>
      </c>
      <c r="V939">
        <v>1</v>
      </c>
    </row>
    <row r="940" spans="1:22" x14ac:dyDescent="0.3">
      <c r="A940" s="1">
        <v>45188</v>
      </c>
      <c r="B940" t="s">
        <v>38</v>
      </c>
      <c r="C940" t="s">
        <v>41</v>
      </c>
      <c r="D940" t="s">
        <v>46</v>
      </c>
      <c r="E940" t="s">
        <v>33</v>
      </c>
      <c r="F940" t="s">
        <v>43</v>
      </c>
      <c r="G940">
        <v>572</v>
      </c>
      <c r="H940">
        <v>3669</v>
      </c>
      <c r="I940">
        <v>3665.395121</v>
      </c>
      <c r="J940" t="b">
        <v>1</v>
      </c>
      <c r="K940">
        <v>22</v>
      </c>
      <c r="L940" t="b">
        <v>0</v>
      </c>
      <c r="M940">
        <v>97414.028659999996</v>
      </c>
      <c r="N940">
        <v>4291</v>
      </c>
      <c r="O940">
        <v>7381</v>
      </c>
      <c r="P940" t="s">
        <v>36</v>
      </c>
      <c r="Q940">
        <v>0.13330226054532743</v>
      </c>
      <c r="R940" t="s">
        <v>37</v>
      </c>
      <c r="S940">
        <v>6.4080334283216782</v>
      </c>
      <c r="T940">
        <v>0.58135753962877657</v>
      </c>
      <c r="U940" t="s">
        <v>29</v>
      </c>
      <c r="V940">
        <v>0</v>
      </c>
    </row>
    <row r="941" spans="1:22" x14ac:dyDescent="0.3">
      <c r="A941" s="1">
        <v>45187</v>
      </c>
      <c r="B941" t="s">
        <v>22</v>
      </c>
      <c r="C941" t="s">
        <v>41</v>
      </c>
      <c r="D941" t="s">
        <v>46</v>
      </c>
      <c r="E941" t="s">
        <v>33</v>
      </c>
      <c r="F941" t="s">
        <v>26</v>
      </c>
      <c r="G941">
        <v>508</v>
      </c>
      <c r="H941">
        <v>4913</v>
      </c>
      <c r="I941">
        <v>3826.2057810000001</v>
      </c>
      <c r="J941" t="b">
        <v>1</v>
      </c>
      <c r="K941">
        <v>6</v>
      </c>
      <c r="L941" t="b">
        <v>0</v>
      </c>
      <c r="M941">
        <v>93014.614329999997</v>
      </c>
      <c r="N941">
        <v>3043</v>
      </c>
      <c r="O941">
        <v>6266</v>
      </c>
      <c r="P941" t="s">
        <v>27</v>
      </c>
      <c r="Q941">
        <v>0.16694051922444955</v>
      </c>
      <c r="R941" t="s">
        <v>40</v>
      </c>
      <c r="S941">
        <v>7.5319011437007877</v>
      </c>
      <c r="T941">
        <v>0.48563676986913501</v>
      </c>
      <c r="U941" t="s">
        <v>29</v>
      </c>
      <c r="V941">
        <v>0</v>
      </c>
    </row>
    <row r="942" spans="1:22" x14ac:dyDescent="0.3">
      <c r="A942" s="1">
        <v>45186</v>
      </c>
      <c r="B942" t="s">
        <v>30</v>
      </c>
      <c r="C942" t="s">
        <v>31</v>
      </c>
      <c r="D942" t="s">
        <v>32</v>
      </c>
      <c r="E942" t="s">
        <v>45</v>
      </c>
      <c r="F942" t="s">
        <v>26</v>
      </c>
      <c r="G942">
        <v>148</v>
      </c>
      <c r="H942">
        <v>1173</v>
      </c>
      <c r="I942">
        <v>5805.5398299999997</v>
      </c>
      <c r="J942" t="b">
        <v>1</v>
      </c>
      <c r="K942">
        <v>2</v>
      </c>
      <c r="L942" t="b">
        <v>0</v>
      </c>
      <c r="M942">
        <v>15882.3177</v>
      </c>
      <c r="N942">
        <v>2486</v>
      </c>
      <c r="O942">
        <v>9365</v>
      </c>
      <c r="P942" t="s">
        <v>36</v>
      </c>
      <c r="Q942">
        <v>5.9533386967015288E-2</v>
      </c>
      <c r="R942" t="s">
        <v>40</v>
      </c>
      <c r="S942">
        <v>39.226620472972968</v>
      </c>
      <c r="T942">
        <v>0.26545648691938067</v>
      </c>
      <c r="U942" t="s">
        <v>34</v>
      </c>
      <c r="V942">
        <v>0</v>
      </c>
    </row>
    <row r="943" spans="1:22" x14ac:dyDescent="0.3">
      <c r="A943" s="1">
        <v>45185</v>
      </c>
      <c r="B943" t="s">
        <v>42</v>
      </c>
      <c r="C943" t="s">
        <v>44</v>
      </c>
      <c r="D943" t="s">
        <v>35</v>
      </c>
      <c r="E943" t="s">
        <v>33</v>
      </c>
      <c r="F943" t="s">
        <v>43</v>
      </c>
      <c r="G943">
        <v>827</v>
      </c>
      <c r="H943">
        <v>3799</v>
      </c>
      <c r="I943">
        <v>2306.918416</v>
      </c>
      <c r="J943" t="b">
        <v>1</v>
      </c>
      <c r="K943">
        <v>8</v>
      </c>
      <c r="L943" t="b">
        <v>0</v>
      </c>
      <c r="M943">
        <v>157639.95329999999</v>
      </c>
      <c r="N943">
        <v>3419</v>
      </c>
      <c r="O943">
        <v>7046</v>
      </c>
      <c r="P943" t="s">
        <v>27</v>
      </c>
      <c r="Q943">
        <v>0.24188359169347762</v>
      </c>
      <c r="R943" t="s">
        <v>28</v>
      </c>
      <c r="S943">
        <v>2.7895023168077389</v>
      </c>
      <c r="T943">
        <v>0.48523985239852396</v>
      </c>
      <c r="U943" t="s">
        <v>29</v>
      </c>
      <c r="V943">
        <v>0</v>
      </c>
    </row>
    <row r="944" spans="1:22" x14ac:dyDescent="0.3">
      <c r="A944" s="1">
        <v>45184</v>
      </c>
      <c r="B944" t="s">
        <v>38</v>
      </c>
      <c r="C944" t="s">
        <v>23</v>
      </c>
      <c r="D944" t="s">
        <v>32</v>
      </c>
      <c r="E944" t="s">
        <v>45</v>
      </c>
      <c r="F944" t="s">
        <v>26</v>
      </c>
      <c r="G944">
        <v>787</v>
      </c>
      <c r="H944">
        <v>3039</v>
      </c>
      <c r="I944">
        <v>2891.5433889999999</v>
      </c>
      <c r="J944" t="b">
        <v>1</v>
      </c>
      <c r="K944">
        <v>23</v>
      </c>
      <c r="L944" t="b">
        <v>0</v>
      </c>
      <c r="M944">
        <v>98389.492010000002</v>
      </c>
      <c r="N944">
        <v>3824.5</v>
      </c>
      <c r="O944">
        <v>6314</v>
      </c>
      <c r="P944" t="s">
        <v>36</v>
      </c>
      <c r="Q944">
        <v>0.20577853314158714</v>
      </c>
      <c r="R944" t="s">
        <v>37</v>
      </c>
      <c r="S944">
        <v>3.6741339123252859</v>
      </c>
      <c r="T944">
        <v>0.60571745327842885</v>
      </c>
      <c r="U944" t="s">
        <v>29</v>
      </c>
      <c r="V944">
        <v>0</v>
      </c>
    </row>
    <row r="945" spans="1:22" x14ac:dyDescent="0.3">
      <c r="A945" s="1">
        <v>45183</v>
      </c>
      <c r="B945" t="s">
        <v>30</v>
      </c>
      <c r="C945" t="s">
        <v>44</v>
      </c>
      <c r="D945" t="s">
        <v>35</v>
      </c>
      <c r="E945" t="s">
        <v>25</v>
      </c>
      <c r="F945" t="s">
        <v>26</v>
      </c>
      <c r="G945">
        <v>97</v>
      </c>
      <c r="H945">
        <v>4610</v>
      </c>
      <c r="I945">
        <v>3934.3173240000001</v>
      </c>
      <c r="J945" t="b">
        <v>1</v>
      </c>
      <c r="K945">
        <v>22</v>
      </c>
      <c r="L945" t="b">
        <v>0</v>
      </c>
      <c r="M945">
        <v>3330.5424459999999</v>
      </c>
      <c r="N945">
        <v>3025</v>
      </c>
      <c r="O945">
        <v>7559</v>
      </c>
      <c r="P945" t="s">
        <v>27</v>
      </c>
      <c r="Q945">
        <v>3.2066115702479338E-2</v>
      </c>
      <c r="R945" t="s">
        <v>37</v>
      </c>
      <c r="S945">
        <v>40.559972412371138</v>
      </c>
      <c r="T945">
        <v>0.4001852096838206</v>
      </c>
      <c r="U945" t="s">
        <v>29</v>
      </c>
      <c r="V945">
        <v>0</v>
      </c>
    </row>
    <row r="946" spans="1:22" x14ac:dyDescent="0.3">
      <c r="A946" s="1">
        <v>45182</v>
      </c>
      <c r="B946" t="s">
        <v>30</v>
      </c>
      <c r="C946" t="s">
        <v>41</v>
      </c>
      <c r="D946" t="s">
        <v>24</v>
      </c>
      <c r="E946" t="s">
        <v>45</v>
      </c>
      <c r="F946" t="s">
        <v>26</v>
      </c>
      <c r="G946">
        <v>165</v>
      </c>
      <c r="H946">
        <v>1440</v>
      </c>
      <c r="I946">
        <v>1758.352834</v>
      </c>
      <c r="J946" t="b">
        <v>1</v>
      </c>
      <c r="K946">
        <v>12</v>
      </c>
      <c r="L946" t="b">
        <v>0</v>
      </c>
      <c r="M946">
        <v>12911.785</v>
      </c>
      <c r="N946">
        <v>2432</v>
      </c>
      <c r="O946">
        <v>5824</v>
      </c>
      <c r="P946" t="s">
        <v>36</v>
      </c>
      <c r="Q946">
        <v>6.7845394736842105E-2</v>
      </c>
      <c r="R946" t="s">
        <v>28</v>
      </c>
      <c r="S946">
        <v>10.656683842424243</v>
      </c>
      <c r="T946">
        <v>0.4175824175824176</v>
      </c>
      <c r="U946" t="s">
        <v>29</v>
      </c>
      <c r="V946">
        <v>0</v>
      </c>
    </row>
    <row r="947" spans="1:22" x14ac:dyDescent="0.3">
      <c r="A947" s="1">
        <v>45181</v>
      </c>
      <c r="B947" t="s">
        <v>22</v>
      </c>
      <c r="C947" t="s">
        <v>41</v>
      </c>
      <c r="D947" t="s">
        <v>35</v>
      </c>
      <c r="E947" t="s">
        <v>25</v>
      </c>
      <c r="F947" t="s">
        <v>26</v>
      </c>
      <c r="G947">
        <v>404</v>
      </c>
      <c r="H947">
        <v>3424</v>
      </c>
      <c r="I947">
        <v>8402.2430320000003</v>
      </c>
      <c r="J947" t="b">
        <v>1</v>
      </c>
      <c r="K947">
        <v>3</v>
      </c>
      <c r="L947" t="b">
        <v>0</v>
      </c>
      <c r="M947">
        <v>57195.410669999997</v>
      </c>
      <c r="N947">
        <v>2457.5</v>
      </c>
      <c r="O947">
        <v>9720</v>
      </c>
      <c r="P947" t="s">
        <v>27</v>
      </c>
      <c r="Q947">
        <v>0.16439471007121059</v>
      </c>
      <c r="R947" t="s">
        <v>40</v>
      </c>
      <c r="S947">
        <v>20.797631267326732</v>
      </c>
      <c r="T947">
        <v>0.25282921810699588</v>
      </c>
      <c r="U947" t="s">
        <v>34</v>
      </c>
      <c r="V947">
        <v>0</v>
      </c>
    </row>
    <row r="948" spans="1:22" x14ac:dyDescent="0.3">
      <c r="A948" s="1">
        <v>45180</v>
      </c>
      <c r="B948" t="s">
        <v>22</v>
      </c>
      <c r="C948" t="s">
        <v>31</v>
      </c>
      <c r="D948" t="s">
        <v>24</v>
      </c>
      <c r="E948" t="s">
        <v>45</v>
      </c>
      <c r="F948" t="s">
        <v>39</v>
      </c>
      <c r="G948">
        <v>383</v>
      </c>
      <c r="H948">
        <v>1491</v>
      </c>
      <c r="I948">
        <v>12680.27306</v>
      </c>
      <c r="J948" t="b">
        <v>1</v>
      </c>
      <c r="K948">
        <v>4</v>
      </c>
      <c r="L948" t="b">
        <v>0</v>
      </c>
      <c r="M948">
        <v>40697.168790000003</v>
      </c>
      <c r="N948">
        <v>1018.5</v>
      </c>
      <c r="O948">
        <v>5708</v>
      </c>
      <c r="P948" t="s">
        <v>27</v>
      </c>
      <c r="Q948">
        <v>0.37604320078546882</v>
      </c>
      <c r="R948" t="s">
        <v>40</v>
      </c>
      <c r="S948">
        <v>33.107762558746735</v>
      </c>
      <c r="T948">
        <v>0.17843377715487035</v>
      </c>
      <c r="U948" t="s">
        <v>34</v>
      </c>
      <c r="V948">
        <v>0</v>
      </c>
    </row>
    <row r="949" spans="1:22" x14ac:dyDescent="0.3">
      <c r="A949" s="1">
        <v>45179</v>
      </c>
      <c r="B949" t="s">
        <v>42</v>
      </c>
      <c r="C949" t="s">
        <v>23</v>
      </c>
      <c r="D949" t="s">
        <v>32</v>
      </c>
      <c r="E949" t="s">
        <v>25</v>
      </c>
      <c r="F949" t="s">
        <v>26</v>
      </c>
      <c r="G949">
        <v>74</v>
      </c>
      <c r="H949">
        <v>546</v>
      </c>
      <c r="I949">
        <v>11137.821190000001</v>
      </c>
      <c r="J949" t="b">
        <v>1</v>
      </c>
      <c r="K949">
        <v>13</v>
      </c>
      <c r="L949" t="b">
        <v>1</v>
      </c>
      <c r="M949">
        <v>4410.3929699999999</v>
      </c>
      <c r="N949">
        <v>380.5</v>
      </c>
      <c r="O949">
        <v>6416</v>
      </c>
      <c r="P949" t="s">
        <v>27</v>
      </c>
      <c r="Q949">
        <v>0.19448094612352168</v>
      </c>
      <c r="R949" t="s">
        <v>28</v>
      </c>
      <c r="S949">
        <v>150.51109716216217</v>
      </c>
      <c r="T949">
        <v>5.9304862842892769E-2</v>
      </c>
      <c r="U949" t="s">
        <v>34</v>
      </c>
      <c r="V949">
        <v>1</v>
      </c>
    </row>
    <row r="950" spans="1:22" x14ac:dyDescent="0.3">
      <c r="A950" s="1">
        <v>45178</v>
      </c>
      <c r="B950" t="s">
        <v>22</v>
      </c>
      <c r="C950" t="s">
        <v>41</v>
      </c>
      <c r="D950" t="s">
        <v>24</v>
      </c>
      <c r="E950" t="s">
        <v>33</v>
      </c>
      <c r="F950" t="s">
        <v>43</v>
      </c>
      <c r="G950">
        <v>986</v>
      </c>
      <c r="H950">
        <v>215</v>
      </c>
      <c r="I950">
        <v>7059.3180080000002</v>
      </c>
      <c r="J950" t="b">
        <v>1</v>
      </c>
      <c r="K950">
        <v>17</v>
      </c>
      <c r="L950" t="b">
        <v>0</v>
      </c>
      <c r="M950">
        <v>127665.69160000001</v>
      </c>
      <c r="N950">
        <v>462.5</v>
      </c>
      <c r="O950">
        <v>8988</v>
      </c>
      <c r="P950" t="s">
        <v>36</v>
      </c>
      <c r="Q950">
        <v>2.1318918918918919</v>
      </c>
      <c r="R950" t="s">
        <v>37</v>
      </c>
      <c r="S950">
        <v>7.1595517322515212</v>
      </c>
      <c r="T950">
        <v>5.1457498887405431E-2</v>
      </c>
      <c r="U950" t="s">
        <v>34</v>
      </c>
      <c r="V950">
        <v>0</v>
      </c>
    </row>
    <row r="951" spans="1:22" x14ac:dyDescent="0.3">
      <c r="A951" s="1">
        <v>45177</v>
      </c>
      <c r="B951" t="s">
        <v>38</v>
      </c>
      <c r="C951" t="s">
        <v>23</v>
      </c>
      <c r="D951" t="s">
        <v>32</v>
      </c>
      <c r="E951" t="s">
        <v>25</v>
      </c>
      <c r="F951" t="s">
        <v>26</v>
      </c>
      <c r="G951">
        <v>688</v>
      </c>
      <c r="H951">
        <v>710</v>
      </c>
      <c r="I951">
        <v>6640.4891340000004</v>
      </c>
      <c r="J951" t="b">
        <v>1</v>
      </c>
      <c r="K951">
        <v>4</v>
      </c>
      <c r="L951" t="b">
        <v>0</v>
      </c>
      <c r="M951">
        <v>131800.22320000001</v>
      </c>
      <c r="N951">
        <v>590.5</v>
      </c>
      <c r="O951">
        <v>6909</v>
      </c>
      <c r="P951" t="s">
        <v>27</v>
      </c>
      <c r="Q951">
        <v>1.1651143099068586</v>
      </c>
      <c r="R951" t="s">
        <v>40</v>
      </c>
      <c r="S951">
        <v>9.6518737412790703</v>
      </c>
      <c r="T951">
        <v>8.5468229845129542E-2</v>
      </c>
      <c r="U951" t="s">
        <v>34</v>
      </c>
      <c r="V951">
        <v>0</v>
      </c>
    </row>
    <row r="952" spans="1:22" x14ac:dyDescent="0.3">
      <c r="A952" s="1">
        <v>45176</v>
      </c>
      <c r="B952" t="s">
        <v>30</v>
      </c>
      <c r="C952" t="s">
        <v>23</v>
      </c>
      <c r="D952" t="s">
        <v>46</v>
      </c>
      <c r="E952" t="s">
        <v>33</v>
      </c>
      <c r="F952" t="s">
        <v>26</v>
      </c>
      <c r="G952">
        <v>424</v>
      </c>
      <c r="H952">
        <v>471</v>
      </c>
      <c r="I952">
        <v>2054.7247160000002</v>
      </c>
      <c r="J952" t="b">
        <v>1</v>
      </c>
      <c r="K952">
        <v>14</v>
      </c>
      <c r="L952" t="b">
        <v>0</v>
      </c>
      <c r="M952">
        <v>41977.515050000002</v>
      </c>
      <c r="N952">
        <v>1077</v>
      </c>
      <c r="O952">
        <v>8090</v>
      </c>
      <c r="P952" t="s">
        <v>36</v>
      </c>
      <c r="Q952">
        <v>0.39368616527390898</v>
      </c>
      <c r="R952" t="s">
        <v>28</v>
      </c>
      <c r="S952">
        <v>4.8460488584905663</v>
      </c>
      <c r="T952">
        <v>0.13312731767614339</v>
      </c>
      <c r="U952" t="s">
        <v>34</v>
      </c>
      <c r="V952">
        <v>0</v>
      </c>
    </row>
    <row r="953" spans="1:22" x14ac:dyDescent="0.3">
      <c r="A953" s="1">
        <v>45175</v>
      </c>
      <c r="B953" t="s">
        <v>22</v>
      </c>
      <c r="C953" t="s">
        <v>44</v>
      </c>
      <c r="D953" t="s">
        <v>35</v>
      </c>
      <c r="E953" t="s">
        <v>33</v>
      </c>
      <c r="F953" t="s">
        <v>26</v>
      </c>
      <c r="G953">
        <v>655</v>
      </c>
      <c r="H953">
        <v>1683</v>
      </c>
      <c r="I953">
        <v>7942.2773159999997</v>
      </c>
      <c r="J953" t="b">
        <v>1</v>
      </c>
      <c r="K953">
        <v>25</v>
      </c>
      <c r="L953" t="b">
        <v>0</v>
      </c>
      <c r="M953">
        <v>91519.164220000006</v>
      </c>
      <c r="N953">
        <v>1597.5</v>
      </c>
      <c r="O953">
        <v>8916</v>
      </c>
      <c r="P953" t="s">
        <v>27</v>
      </c>
      <c r="Q953">
        <v>0.41001564945226915</v>
      </c>
      <c r="R953" t="s">
        <v>37</v>
      </c>
      <c r="S953">
        <v>12.125614222900763</v>
      </c>
      <c r="T953">
        <v>0.17917227456258411</v>
      </c>
      <c r="U953" t="s">
        <v>34</v>
      </c>
      <c r="V953">
        <v>0</v>
      </c>
    </row>
    <row r="954" spans="1:22" x14ac:dyDescent="0.3">
      <c r="A954" s="1">
        <v>45174</v>
      </c>
      <c r="B954" t="s">
        <v>22</v>
      </c>
      <c r="C954" t="s">
        <v>23</v>
      </c>
      <c r="D954" t="s">
        <v>35</v>
      </c>
      <c r="E954" t="s">
        <v>33</v>
      </c>
      <c r="F954" t="s">
        <v>26</v>
      </c>
      <c r="G954">
        <v>363</v>
      </c>
      <c r="H954">
        <v>1512</v>
      </c>
      <c r="I954">
        <v>7964.3714069999996</v>
      </c>
      <c r="J954" t="b">
        <v>1</v>
      </c>
      <c r="K954">
        <v>2</v>
      </c>
      <c r="L954" t="b">
        <v>0</v>
      </c>
      <c r="M954">
        <v>45124.149899999997</v>
      </c>
      <c r="N954">
        <v>2557.5</v>
      </c>
      <c r="O954">
        <v>5677</v>
      </c>
      <c r="P954" t="s">
        <v>36</v>
      </c>
      <c r="Q954">
        <v>0.14193548387096774</v>
      </c>
      <c r="R954" t="s">
        <v>40</v>
      </c>
      <c r="S954">
        <v>21.940417099173551</v>
      </c>
      <c r="T954">
        <v>0.45050202571780873</v>
      </c>
      <c r="U954" t="s">
        <v>29</v>
      </c>
      <c r="V954">
        <v>0</v>
      </c>
    </row>
    <row r="955" spans="1:22" x14ac:dyDescent="0.3">
      <c r="A955" s="1">
        <v>45173</v>
      </c>
      <c r="B955" t="s">
        <v>22</v>
      </c>
      <c r="C955" t="s">
        <v>23</v>
      </c>
      <c r="D955" t="s">
        <v>46</v>
      </c>
      <c r="E955" t="s">
        <v>25</v>
      </c>
      <c r="F955" t="s">
        <v>26</v>
      </c>
      <c r="G955">
        <v>543</v>
      </c>
      <c r="H955">
        <v>3603</v>
      </c>
      <c r="I955">
        <v>8831.4418650000007</v>
      </c>
      <c r="J955" t="b">
        <v>1</v>
      </c>
      <c r="K955">
        <v>27</v>
      </c>
      <c r="L955" t="b">
        <v>0</v>
      </c>
      <c r="M955">
        <v>23002.8956</v>
      </c>
      <c r="N955">
        <v>3756.5</v>
      </c>
      <c r="O955">
        <v>8524</v>
      </c>
      <c r="P955" t="s">
        <v>36</v>
      </c>
      <c r="Q955">
        <v>0.1445494476241182</v>
      </c>
      <c r="R955" t="s">
        <v>37</v>
      </c>
      <c r="S955">
        <v>16.26416549723757</v>
      </c>
      <c r="T955">
        <v>0.44069685593618019</v>
      </c>
      <c r="U955" t="s">
        <v>29</v>
      </c>
      <c r="V955">
        <v>0</v>
      </c>
    </row>
    <row r="956" spans="1:22" x14ac:dyDescent="0.3">
      <c r="A956" s="1">
        <v>45172</v>
      </c>
      <c r="B956" t="s">
        <v>38</v>
      </c>
      <c r="C956" t="s">
        <v>41</v>
      </c>
      <c r="D956" t="s">
        <v>35</v>
      </c>
      <c r="E956" t="s">
        <v>45</v>
      </c>
      <c r="F956" t="s">
        <v>26</v>
      </c>
      <c r="G956">
        <v>539</v>
      </c>
      <c r="H956">
        <v>3910</v>
      </c>
      <c r="I956">
        <v>5367.3948090000004</v>
      </c>
      <c r="J956" t="b">
        <v>1</v>
      </c>
      <c r="K956">
        <v>24</v>
      </c>
      <c r="L956" t="b">
        <v>0</v>
      </c>
      <c r="M956">
        <v>70548.058019999997</v>
      </c>
      <c r="N956">
        <v>3133</v>
      </c>
      <c r="O956">
        <v>7356</v>
      </c>
      <c r="P956" t="s">
        <v>27</v>
      </c>
      <c r="Q956">
        <v>0.17203957867858283</v>
      </c>
      <c r="R956" t="s">
        <v>37</v>
      </c>
      <c r="S956">
        <v>9.9580608701298701</v>
      </c>
      <c r="T956">
        <v>0.42591082109842304</v>
      </c>
      <c r="U956" t="s">
        <v>29</v>
      </c>
      <c r="V956">
        <v>0</v>
      </c>
    </row>
    <row r="957" spans="1:22" x14ac:dyDescent="0.3">
      <c r="A957" s="1">
        <v>45171</v>
      </c>
      <c r="B957" t="s">
        <v>30</v>
      </c>
      <c r="C957" t="s">
        <v>31</v>
      </c>
      <c r="D957" t="s">
        <v>24</v>
      </c>
      <c r="E957" t="s">
        <v>25</v>
      </c>
      <c r="F957" t="s">
        <v>39</v>
      </c>
      <c r="G957">
        <v>767</v>
      </c>
      <c r="H957">
        <v>2356</v>
      </c>
      <c r="I957">
        <v>12365.46336</v>
      </c>
      <c r="J957" t="b">
        <v>1</v>
      </c>
      <c r="K957">
        <v>2</v>
      </c>
      <c r="L957" t="b">
        <v>0</v>
      </c>
      <c r="M957">
        <v>69557.339949999994</v>
      </c>
      <c r="N957">
        <v>1419</v>
      </c>
      <c r="O957">
        <v>6531</v>
      </c>
      <c r="P957" t="s">
        <v>27</v>
      </c>
      <c r="Q957">
        <v>0.54052149400986615</v>
      </c>
      <c r="R957" t="s">
        <v>40</v>
      </c>
      <c r="S957">
        <v>16.121855749674054</v>
      </c>
      <c r="T957">
        <v>0.21727147450620118</v>
      </c>
      <c r="U957" t="s">
        <v>34</v>
      </c>
      <c r="V957">
        <v>0</v>
      </c>
    </row>
    <row r="958" spans="1:22" x14ac:dyDescent="0.3">
      <c r="A958" s="1">
        <v>45170</v>
      </c>
      <c r="B958" t="s">
        <v>22</v>
      </c>
      <c r="C958" t="s">
        <v>31</v>
      </c>
      <c r="D958" t="s">
        <v>24</v>
      </c>
      <c r="E958" t="s">
        <v>45</v>
      </c>
      <c r="F958" t="s">
        <v>26</v>
      </c>
      <c r="G958">
        <v>635</v>
      </c>
      <c r="H958">
        <v>482</v>
      </c>
      <c r="I958">
        <v>1530.04261</v>
      </c>
      <c r="J958" t="b">
        <v>1</v>
      </c>
      <c r="K958">
        <v>13</v>
      </c>
      <c r="L958" t="b">
        <v>0</v>
      </c>
      <c r="M958">
        <v>57251.319029999999</v>
      </c>
      <c r="N958">
        <v>1397</v>
      </c>
      <c r="O958">
        <v>5781</v>
      </c>
      <c r="P958" t="s">
        <v>36</v>
      </c>
      <c r="Q958">
        <v>0.45454545454545453</v>
      </c>
      <c r="R958" t="s">
        <v>28</v>
      </c>
      <c r="S958">
        <v>2.4095159212598425</v>
      </c>
      <c r="T958">
        <v>0.24165369313267601</v>
      </c>
      <c r="U958" t="s">
        <v>34</v>
      </c>
      <c r="V958">
        <v>0</v>
      </c>
    </row>
    <row r="959" spans="1:22" x14ac:dyDescent="0.3">
      <c r="A959" s="1">
        <v>45169</v>
      </c>
      <c r="B959" t="s">
        <v>42</v>
      </c>
      <c r="C959" t="s">
        <v>23</v>
      </c>
      <c r="D959" t="s">
        <v>24</v>
      </c>
      <c r="E959" t="s">
        <v>33</v>
      </c>
      <c r="F959" t="s">
        <v>26</v>
      </c>
      <c r="G959">
        <v>74</v>
      </c>
      <c r="H959">
        <v>2312</v>
      </c>
      <c r="I959">
        <v>7301.3662940000004</v>
      </c>
      <c r="J959" t="b">
        <v>1</v>
      </c>
      <c r="K959">
        <v>20</v>
      </c>
      <c r="L959" t="b">
        <v>0</v>
      </c>
      <c r="M959">
        <v>7741.678167</v>
      </c>
      <c r="N959">
        <v>2517</v>
      </c>
      <c r="O959">
        <v>9958</v>
      </c>
      <c r="P959" t="s">
        <v>36</v>
      </c>
      <c r="Q959">
        <v>2.9400079459674214E-2</v>
      </c>
      <c r="R959" t="s">
        <v>37</v>
      </c>
      <c r="S959">
        <v>98.667112081081086</v>
      </c>
      <c r="T959">
        <v>0.2527615987146013</v>
      </c>
      <c r="U959" t="s">
        <v>34</v>
      </c>
      <c r="V959">
        <v>0</v>
      </c>
    </row>
    <row r="960" spans="1:22" x14ac:dyDescent="0.3">
      <c r="A960" s="1">
        <v>45168</v>
      </c>
      <c r="B960" t="s">
        <v>30</v>
      </c>
      <c r="C960" t="s">
        <v>44</v>
      </c>
      <c r="D960" t="s">
        <v>32</v>
      </c>
      <c r="E960" t="s">
        <v>33</v>
      </c>
      <c r="F960" t="s">
        <v>26</v>
      </c>
      <c r="G960">
        <v>544</v>
      </c>
      <c r="H960">
        <v>2722</v>
      </c>
      <c r="I960">
        <v>8052.8438489999999</v>
      </c>
      <c r="J960" t="b">
        <v>1</v>
      </c>
      <c r="K960">
        <v>16</v>
      </c>
      <c r="L960" t="b">
        <v>0</v>
      </c>
      <c r="M960">
        <v>93421.702210000003</v>
      </c>
      <c r="N960">
        <v>1755.5</v>
      </c>
      <c r="O960">
        <v>5131</v>
      </c>
      <c r="P960" t="s">
        <v>27</v>
      </c>
      <c r="Q960">
        <v>0.30988322415266306</v>
      </c>
      <c r="R960" t="s">
        <v>37</v>
      </c>
      <c r="S960">
        <v>14.803021781249999</v>
      </c>
      <c r="T960">
        <v>0.34213603586045604</v>
      </c>
      <c r="U960" t="s">
        <v>34</v>
      </c>
      <c r="V960">
        <v>0</v>
      </c>
    </row>
    <row r="961" spans="1:22" x14ac:dyDescent="0.3">
      <c r="A961" s="1">
        <v>45167</v>
      </c>
      <c r="B961" t="s">
        <v>38</v>
      </c>
      <c r="C961" t="s">
        <v>41</v>
      </c>
      <c r="D961" t="s">
        <v>35</v>
      </c>
      <c r="E961" t="s">
        <v>25</v>
      </c>
      <c r="F961" t="s">
        <v>26</v>
      </c>
      <c r="G961">
        <v>417</v>
      </c>
      <c r="H961">
        <v>789</v>
      </c>
      <c r="I961">
        <v>3258.3049970000002</v>
      </c>
      <c r="J961" t="b">
        <v>1</v>
      </c>
      <c r="K961">
        <v>20</v>
      </c>
      <c r="L961" t="b">
        <v>0</v>
      </c>
      <c r="M961">
        <v>64641.93651</v>
      </c>
      <c r="N961">
        <v>2256.5</v>
      </c>
      <c r="O961">
        <v>6022</v>
      </c>
      <c r="P961" t="s">
        <v>36</v>
      </c>
      <c r="Q961">
        <v>0.18479946820296919</v>
      </c>
      <c r="R961" t="s">
        <v>37</v>
      </c>
      <c r="S961">
        <v>7.813681047961631</v>
      </c>
      <c r="T961">
        <v>0.37470939887080706</v>
      </c>
      <c r="U961" t="s">
        <v>34</v>
      </c>
      <c r="V961">
        <v>0</v>
      </c>
    </row>
    <row r="962" spans="1:22" x14ac:dyDescent="0.3">
      <c r="A962" s="1">
        <v>45166</v>
      </c>
      <c r="B962" t="s">
        <v>42</v>
      </c>
      <c r="C962" t="s">
        <v>31</v>
      </c>
      <c r="D962" t="s">
        <v>32</v>
      </c>
      <c r="E962" t="s">
        <v>25</v>
      </c>
      <c r="F962" t="s">
        <v>26</v>
      </c>
      <c r="G962">
        <v>297</v>
      </c>
      <c r="H962">
        <v>3724</v>
      </c>
      <c r="I962">
        <v>10417.639380000001</v>
      </c>
      <c r="J962" t="b">
        <v>0</v>
      </c>
      <c r="K962">
        <v>24</v>
      </c>
      <c r="L962" t="b">
        <v>1</v>
      </c>
      <c r="M962">
        <v>55791.010549999999</v>
      </c>
      <c r="N962">
        <v>3491</v>
      </c>
      <c r="O962">
        <v>6044</v>
      </c>
      <c r="P962" t="s">
        <v>27</v>
      </c>
      <c r="Q962">
        <v>8.5075909481523923E-2</v>
      </c>
      <c r="R962" t="s">
        <v>37</v>
      </c>
      <c r="S962">
        <v>35.076226868686874</v>
      </c>
      <c r="T962">
        <v>0.57759761747187288</v>
      </c>
      <c r="U962" t="s">
        <v>29</v>
      </c>
      <c r="V962">
        <v>1</v>
      </c>
    </row>
    <row r="963" spans="1:22" x14ac:dyDescent="0.3">
      <c r="A963" s="1">
        <v>45165</v>
      </c>
      <c r="B963" t="s">
        <v>30</v>
      </c>
      <c r="C963" t="s">
        <v>23</v>
      </c>
      <c r="D963" t="s">
        <v>46</v>
      </c>
      <c r="E963" t="s">
        <v>25</v>
      </c>
      <c r="F963" t="s">
        <v>26</v>
      </c>
      <c r="G963">
        <v>286</v>
      </c>
      <c r="H963">
        <v>3258</v>
      </c>
      <c r="I963">
        <v>8412.1956420000006</v>
      </c>
      <c r="J963" t="b">
        <v>1</v>
      </c>
      <c r="K963">
        <v>23</v>
      </c>
      <c r="L963" t="b">
        <v>0</v>
      </c>
      <c r="M963">
        <v>48530.6803</v>
      </c>
      <c r="N963">
        <v>3812.5</v>
      </c>
      <c r="O963">
        <v>7498</v>
      </c>
      <c r="P963" t="s">
        <v>36</v>
      </c>
      <c r="Q963">
        <v>7.5016393442622953E-2</v>
      </c>
      <c r="R963" t="s">
        <v>37</v>
      </c>
      <c r="S963">
        <v>29.413271475524478</v>
      </c>
      <c r="T963">
        <v>0.50846892504667907</v>
      </c>
      <c r="U963" t="s">
        <v>29</v>
      </c>
      <c r="V963">
        <v>0</v>
      </c>
    </row>
    <row r="964" spans="1:22" x14ac:dyDescent="0.3">
      <c r="A964" s="1">
        <v>45164</v>
      </c>
      <c r="B964" t="s">
        <v>38</v>
      </c>
      <c r="C964" t="s">
        <v>41</v>
      </c>
      <c r="D964" t="s">
        <v>46</v>
      </c>
      <c r="E964" t="s">
        <v>33</v>
      </c>
      <c r="F964" t="s">
        <v>43</v>
      </c>
      <c r="G964">
        <v>973</v>
      </c>
      <c r="H964">
        <v>4367</v>
      </c>
      <c r="I964">
        <v>3734.751851</v>
      </c>
      <c r="J964" t="b">
        <v>1</v>
      </c>
      <c r="K964">
        <v>25</v>
      </c>
      <c r="L964" t="b">
        <v>0</v>
      </c>
      <c r="M964">
        <v>118909.4154</v>
      </c>
      <c r="N964">
        <v>2716.5</v>
      </c>
      <c r="O964">
        <v>8349</v>
      </c>
      <c r="P964" t="s">
        <v>27</v>
      </c>
      <c r="Q964">
        <v>0.35818148352659673</v>
      </c>
      <c r="R964" t="s">
        <v>37</v>
      </c>
      <c r="S964">
        <v>3.8383883360739981</v>
      </c>
      <c r="T964">
        <v>0.32536830758174634</v>
      </c>
      <c r="U964" t="s">
        <v>34</v>
      </c>
      <c r="V964">
        <v>0</v>
      </c>
    </row>
    <row r="965" spans="1:22" x14ac:dyDescent="0.3">
      <c r="A965" s="1">
        <v>45163</v>
      </c>
      <c r="B965" t="s">
        <v>38</v>
      </c>
      <c r="C965" t="s">
        <v>44</v>
      </c>
      <c r="D965" t="s">
        <v>35</v>
      </c>
      <c r="E965" t="s">
        <v>25</v>
      </c>
      <c r="F965" t="s">
        <v>26</v>
      </c>
      <c r="G965">
        <v>330</v>
      </c>
      <c r="H965">
        <v>1066</v>
      </c>
      <c r="I965">
        <v>9398.4062219999996</v>
      </c>
      <c r="J965" t="b">
        <v>0</v>
      </c>
      <c r="K965">
        <v>24</v>
      </c>
      <c r="L965" t="b">
        <v>0</v>
      </c>
      <c r="M965">
        <v>26605.481100000001</v>
      </c>
      <c r="N965">
        <v>814.5</v>
      </c>
      <c r="O965">
        <v>9513</v>
      </c>
      <c r="P965" t="s">
        <v>27</v>
      </c>
      <c r="Q965">
        <v>0.40515653775322286</v>
      </c>
      <c r="R965" t="s">
        <v>37</v>
      </c>
      <c r="S965">
        <v>28.480018854545452</v>
      </c>
      <c r="T965">
        <v>8.5619678334910118E-2</v>
      </c>
      <c r="U965" t="s">
        <v>34</v>
      </c>
      <c r="V965">
        <v>0</v>
      </c>
    </row>
    <row r="966" spans="1:22" x14ac:dyDescent="0.3">
      <c r="A966" s="1">
        <v>45162</v>
      </c>
      <c r="B966" t="s">
        <v>42</v>
      </c>
      <c r="C966" t="s">
        <v>44</v>
      </c>
      <c r="D966" t="s">
        <v>46</v>
      </c>
      <c r="E966" t="s">
        <v>45</v>
      </c>
      <c r="F966" t="s">
        <v>26</v>
      </c>
      <c r="G966">
        <v>79</v>
      </c>
      <c r="H966">
        <v>563</v>
      </c>
      <c r="I966">
        <v>3481.5115719999999</v>
      </c>
      <c r="J966" t="b">
        <v>1</v>
      </c>
      <c r="K966">
        <v>26</v>
      </c>
      <c r="L966" t="b">
        <v>0</v>
      </c>
      <c r="M966">
        <v>5899.084527</v>
      </c>
      <c r="N966">
        <v>1208.5</v>
      </c>
      <c r="O966">
        <v>7902</v>
      </c>
      <c r="P966" t="s">
        <v>36</v>
      </c>
      <c r="Q966">
        <v>6.5370293752585851E-2</v>
      </c>
      <c r="R966" t="s">
        <v>37</v>
      </c>
      <c r="S966">
        <v>44.069766734177215</v>
      </c>
      <c r="T966">
        <v>0.15293596557833461</v>
      </c>
      <c r="U966" t="s">
        <v>34</v>
      </c>
      <c r="V966">
        <v>0</v>
      </c>
    </row>
    <row r="967" spans="1:22" x14ac:dyDescent="0.3">
      <c r="A967" s="1">
        <v>45161</v>
      </c>
      <c r="B967" t="s">
        <v>42</v>
      </c>
      <c r="C967" t="s">
        <v>23</v>
      </c>
      <c r="D967" t="s">
        <v>46</v>
      </c>
      <c r="E967" t="s">
        <v>45</v>
      </c>
      <c r="F967" t="s">
        <v>39</v>
      </c>
      <c r="G967">
        <v>776</v>
      </c>
      <c r="H967">
        <v>1854</v>
      </c>
      <c r="I967">
        <v>14235.849990000001</v>
      </c>
      <c r="J967" t="b">
        <v>1</v>
      </c>
      <c r="K967">
        <v>17</v>
      </c>
      <c r="L967" t="b">
        <v>0</v>
      </c>
      <c r="M967">
        <v>40323.25733</v>
      </c>
      <c r="N967">
        <v>2142</v>
      </c>
      <c r="O967">
        <v>6347</v>
      </c>
      <c r="P967" t="s">
        <v>36</v>
      </c>
      <c r="Q967">
        <v>0.3622782446311858</v>
      </c>
      <c r="R967" t="s">
        <v>37</v>
      </c>
      <c r="S967">
        <v>18.345167512886597</v>
      </c>
      <c r="T967">
        <v>0.33748227509059397</v>
      </c>
      <c r="U967" t="s">
        <v>34</v>
      </c>
      <c r="V967">
        <v>0</v>
      </c>
    </row>
    <row r="968" spans="1:22" x14ac:dyDescent="0.3">
      <c r="A968" s="1">
        <v>45160</v>
      </c>
      <c r="B968" t="s">
        <v>42</v>
      </c>
      <c r="C968" t="s">
        <v>23</v>
      </c>
      <c r="D968" t="s">
        <v>32</v>
      </c>
      <c r="E968" t="s">
        <v>33</v>
      </c>
      <c r="F968" t="s">
        <v>39</v>
      </c>
      <c r="G968">
        <v>305</v>
      </c>
      <c r="H968">
        <v>2430</v>
      </c>
      <c r="I968">
        <v>3351.6748699999998</v>
      </c>
      <c r="J968" t="b">
        <v>1</v>
      </c>
      <c r="K968">
        <v>29</v>
      </c>
      <c r="L968" t="b">
        <v>1</v>
      </c>
      <c r="M968">
        <v>39024.573709999997</v>
      </c>
      <c r="N968">
        <v>1572.5</v>
      </c>
      <c r="O968">
        <v>8468</v>
      </c>
      <c r="P968" t="s">
        <v>27</v>
      </c>
      <c r="Q968">
        <v>0.19395866454689983</v>
      </c>
      <c r="R968" t="s">
        <v>37</v>
      </c>
      <c r="S968">
        <v>10.989097934426228</v>
      </c>
      <c r="T968">
        <v>0.18569910250354274</v>
      </c>
      <c r="U968" t="s">
        <v>34</v>
      </c>
      <c r="V968">
        <v>1</v>
      </c>
    </row>
    <row r="969" spans="1:22" x14ac:dyDescent="0.3">
      <c r="A969" s="1">
        <v>45159</v>
      </c>
      <c r="B969" t="s">
        <v>42</v>
      </c>
      <c r="C969" t="s">
        <v>44</v>
      </c>
      <c r="D969" t="s">
        <v>24</v>
      </c>
      <c r="E969" t="s">
        <v>45</v>
      </c>
      <c r="F969" t="s">
        <v>43</v>
      </c>
      <c r="G969">
        <v>933</v>
      </c>
      <c r="H969">
        <v>715</v>
      </c>
      <c r="I969">
        <v>13241.82459</v>
      </c>
      <c r="J969" t="b">
        <v>1</v>
      </c>
      <c r="K969">
        <v>11</v>
      </c>
      <c r="L969" t="b">
        <v>1</v>
      </c>
      <c r="M969">
        <v>142533.06390000001</v>
      </c>
      <c r="N969">
        <v>2322</v>
      </c>
      <c r="O969">
        <v>6321</v>
      </c>
      <c r="P969" t="s">
        <v>36</v>
      </c>
      <c r="Q969">
        <v>0.40180878552971577</v>
      </c>
      <c r="R969" t="s">
        <v>28</v>
      </c>
      <c r="S969">
        <v>14.19273803858521</v>
      </c>
      <c r="T969">
        <v>0.36734693877551022</v>
      </c>
      <c r="U969" t="s">
        <v>34</v>
      </c>
      <c r="V969">
        <v>1</v>
      </c>
    </row>
    <row r="970" spans="1:22" x14ac:dyDescent="0.3">
      <c r="A970" s="1">
        <v>45158</v>
      </c>
      <c r="B970" t="s">
        <v>42</v>
      </c>
      <c r="C970" t="s">
        <v>41</v>
      </c>
      <c r="D970" t="s">
        <v>35</v>
      </c>
      <c r="E970" t="s">
        <v>33</v>
      </c>
      <c r="F970" t="s">
        <v>26</v>
      </c>
      <c r="G970">
        <v>96</v>
      </c>
      <c r="H970">
        <v>3929</v>
      </c>
      <c r="I970">
        <v>4254.9432729999999</v>
      </c>
      <c r="J970" t="b">
        <v>1</v>
      </c>
      <c r="K970">
        <v>10</v>
      </c>
      <c r="L970" t="b">
        <v>0</v>
      </c>
      <c r="M970">
        <v>8182.8147849999996</v>
      </c>
      <c r="N970">
        <v>4255.5</v>
      </c>
      <c r="O970">
        <v>9135</v>
      </c>
      <c r="P970" t="s">
        <v>36</v>
      </c>
      <c r="Q970">
        <v>2.2559041240747268E-2</v>
      </c>
      <c r="R970" t="s">
        <v>28</v>
      </c>
      <c r="S970">
        <v>44.322325760416668</v>
      </c>
      <c r="T970">
        <v>0.4658456486042693</v>
      </c>
      <c r="U970" t="s">
        <v>29</v>
      </c>
      <c r="V970">
        <v>0</v>
      </c>
    </row>
    <row r="971" spans="1:22" x14ac:dyDescent="0.3">
      <c r="A971" s="1">
        <v>45157</v>
      </c>
      <c r="B971" t="s">
        <v>38</v>
      </c>
      <c r="C971" t="s">
        <v>41</v>
      </c>
      <c r="D971" t="s">
        <v>35</v>
      </c>
      <c r="E971" t="s">
        <v>45</v>
      </c>
      <c r="F971" t="s">
        <v>26</v>
      </c>
      <c r="G971">
        <v>118</v>
      </c>
      <c r="H971">
        <v>4582</v>
      </c>
      <c r="I971">
        <v>7138.1715219999996</v>
      </c>
      <c r="J971" t="b">
        <v>1</v>
      </c>
      <c r="K971">
        <v>18</v>
      </c>
      <c r="L971" t="b">
        <v>0</v>
      </c>
      <c r="M971">
        <v>2363.933548</v>
      </c>
      <c r="N971">
        <v>2530</v>
      </c>
      <c r="O971">
        <v>7436</v>
      </c>
      <c r="P971" t="s">
        <v>27</v>
      </c>
      <c r="Q971">
        <v>4.6640316205533598E-2</v>
      </c>
      <c r="R971" t="s">
        <v>37</v>
      </c>
      <c r="S971">
        <v>60.492978999999998</v>
      </c>
      <c r="T971">
        <v>0.34023668639053256</v>
      </c>
      <c r="U971" t="s">
        <v>34</v>
      </c>
      <c r="V971">
        <v>0</v>
      </c>
    </row>
    <row r="972" spans="1:22" x14ac:dyDescent="0.3">
      <c r="A972" s="1">
        <v>45156</v>
      </c>
      <c r="B972" t="s">
        <v>22</v>
      </c>
      <c r="C972" t="s">
        <v>31</v>
      </c>
      <c r="D972" t="s">
        <v>35</v>
      </c>
      <c r="E972" t="s">
        <v>45</v>
      </c>
      <c r="F972" t="s">
        <v>43</v>
      </c>
      <c r="G972">
        <v>224</v>
      </c>
      <c r="H972">
        <v>478</v>
      </c>
      <c r="I972">
        <v>12578.99683</v>
      </c>
      <c r="J972" t="b">
        <v>1</v>
      </c>
      <c r="K972">
        <v>25</v>
      </c>
      <c r="L972" t="b">
        <v>0</v>
      </c>
      <c r="M972">
        <v>39053.80543</v>
      </c>
      <c r="N972">
        <v>1842</v>
      </c>
      <c r="O972">
        <v>8596</v>
      </c>
      <c r="P972" t="s">
        <v>36</v>
      </c>
      <c r="Q972">
        <v>0.12160694896851248</v>
      </c>
      <c r="R972" t="s">
        <v>37</v>
      </c>
      <c r="S972">
        <v>56.156235848214287</v>
      </c>
      <c r="T972">
        <v>0.21428571428571427</v>
      </c>
      <c r="U972" t="s">
        <v>34</v>
      </c>
      <c r="V972">
        <v>0</v>
      </c>
    </row>
    <row r="973" spans="1:22" x14ac:dyDescent="0.3">
      <c r="A973" s="1">
        <v>45155</v>
      </c>
      <c r="B973" t="s">
        <v>22</v>
      </c>
      <c r="C973" t="s">
        <v>44</v>
      </c>
      <c r="D973" t="s">
        <v>46</v>
      </c>
      <c r="E973" t="s">
        <v>45</v>
      </c>
      <c r="F973" t="s">
        <v>26</v>
      </c>
      <c r="G973">
        <v>174</v>
      </c>
      <c r="H973">
        <v>3206</v>
      </c>
      <c r="I973">
        <v>1303.9559180000001</v>
      </c>
      <c r="J973" t="b">
        <v>1</v>
      </c>
      <c r="K973">
        <v>20</v>
      </c>
      <c r="L973" t="b">
        <v>0</v>
      </c>
      <c r="M973">
        <v>27594.315210000001</v>
      </c>
      <c r="N973">
        <v>4054.5</v>
      </c>
      <c r="O973">
        <v>5641</v>
      </c>
      <c r="P973" t="s">
        <v>36</v>
      </c>
      <c r="Q973">
        <v>4.2915279319274878E-2</v>
      </c>
      <c r="R973" t="s">
        <v>37</v>
      </c>
      <c r="S973">
        <v>7.4939995287356327</v>
      </c>
      <c r="T973">
        <v>0.71875553979790818</v>
      </c>
      <c r="U973" t="s">
        <v>29</v>
      </c>
      <c r="V973">
        <v>0</v>
      </c>
    </row>
    <row r="974" spans="1:22" x14ac:dyDescent="0.3">
      <c r="A974" s="1">
        <v>45154</v>
      </c>
      <c r="B974" t="s">
        <v>38</v>
      </c>
      <c r="C974" t="s">
        <v>31</v>
      </c>
      <c r="D974" t="s">
        <v>46</v>
      </c>
      <c r="E974" t="s">
        <v>33</v>
      </c>
      <c r="F974" t="s">
        <v>39</v>
      </c>
      <c r="G974">
        <v>132</v>
      </c>
      <c r="H974">
        <v>4903</v>
      </c>
      <c r="I974">
        <v>13638.994269999999</v>
      </c>
      <c r="J974" t="b">
        <v>1</v>
      </c>
      <c r="K974">
        <v>18</v>
      </c>
      <c r="L974" t="b">
        <v>0</v>
      </c>
      <c r="M974">
        <v>21331.206709999999</v>
      </c>
      <c r="N974">
        <v>3169</v>
      </c>
      <c r="O974">
        <v>7477</v>
      </c>
      <c r="P974" t="s">
        <v>27</v>
      </c>
      <c r="Q974">
        <v>4.1653518460082042E-2</v>
      </c>
      <c r="R974" t="s">
        <v>37</v>
      </c>
      <c r="S974">
        <v>103.32571416666666</v>
      </c>
      <c r="T974">
        <v>0.42383308813695331</v>
      </c>
      <c r="U974" t="s">
        <v>29</v>
      </c>
      <c r="V974">
        <v>0</v>
      </c>
    </row>
    <row r="975" spans="1:22" x14ac:dyDescent="0.3">
      <c r="A975" s="1">
        <v>45153</v>
      </c>
      <c r="B975" t="s">
        <v>22</v>
      </c>
      <c r="C975" t="s">
        <v>31</v>
      </c>
      <c r="D975" t="s">
        <v>46</v>
      </c>
      <c r="E975" t="s">
        <v>25</v>
      </c>
      <c r="F975" t="s">
        <v>39</v>
      </c>
      <c r="G975">
        <v>763</v>
      </c>
      <c r="H975">
        <v>1435</v>
      </c>
      <c r="I975">
        <v>14766.99863</v>
      </c>
      <c r="J975" t="b">
        <v>1</v>
      </c>
      <c r="K975">
        <v>25</v>
      </c>
      <c r="L975" t="b">
        <v>0</v>
      </c>
      <c r="M975">
        <v>149533.804</v>
      </c>
      <c r="N975">
        <v>862.5</v>
      </c>
      <c r="O975">
        <v>8960</v>
      </c>
      <c r="P975" t="s">
        <v>27</v>
      </c>
      <c r="Q975">
        <v>0.88463768115942032</v>
      </c>
      <c r="R975" t="s">
        <v>37</v>
      </c>
      <c r="S975">
        <v>19.353864521625162</v>
      </c>
      <c r="T975">
        <v>9.6261160714285712E-2</v>
      </c>
      <c r="U975" t="s">
        <v>34</v>
      </c>
      <c r="V975">
        <v>0</v>
      </c>
    </row>
    <row r="976" spans="1:22" x14ac:dyDescent="0.3">
      <c r="A976" s="1">
        <v>45152</v>
      </c>
      <c r="B976" t="s">
        <v>38</v>
      </c>
      <c r="C976" t="s">
        <v>44</v>
      </c>
      <c r="D976" t="s">
        <v>46</v>
      </c>
      <c r="E976" t="s">
        <v>25</v>
      </c>
      <c r="F976" t="s">
        <v>26</v>
      </c>
      <c r="G976">
        <v>840</v>
      </c>
      <c r="H976">
        <v>290</v>
      </c>
      <c r="I976">
        <v>533.68938890000004</v>
      </c>
      <c r="J976" t="b">
        <v>1</v>
      </c>
      <c r="K976">
        <v>23</v>
      </c>
      <c r="L976" t="b">
        <v>0</v>
      </c>
      <c r="M976">
        <v>136507.48449999999</v>
      </c>
      <c r="N976">
        <v>1553</v>
      </c>
      <c r="O976">
        <v>5181</v>
      </c>
      <c r="P976" t="s">
        <v>36</v>
      </c>
      <c r="Q976">
        <v>0.54088860270444306</v>
      </c>
      <c r="R976" t="s">
        <v>37</v>
      </c>
      <c r="S976">
        <v>0.63534451059523811</v>
      </c>
      <c r="T976">
        <v>0.29974908318857363</v>
      </c>
      <c r="U976" t="s">
        <v>34</v>
      </c>
      <c r="V976">
        <v>0</v>
      </c>
    </row>
    <row r="977" spans="1:22" x14ac:dyDescent="0.3">
      <c r="A977" s="1">
        <v>45151</v>
      </c>
      <c r="B977" t="s">
        <v>38</v>
      </c>
      <c r="C977" t="s">
        <v>23</v>
      </c>
      <c r="D977" t="s">
        <v>32</v>
      </c>
      <c r="E977" t="s">
        <v>25</v>
      </c>
      <c r="F977" t="s">
        <v>26</v>
      </c>
      <c r="G977">
        <v>890</v>
      </c>
      <c r="H977">
        <v>2816</v>
      </c>
      <c r="I977">
        <v>2898.5922059999998</v>
      </c>
      <c r="J977" t="b">
        <v>1</v>
      </c>
      <c r="K977">
        <v>4</v>
      </c>
      <c r="L977" t="b">
        <v>0</v>
      </c>
      <c r="M977">
        <v>146217.22940000001</v>
      </c>
      <c r="N977">
        <v>3442</v>
      </c>
      <c r="O977">
        <v>5831</v>
      </c>
      <c r="P977" t="s">
        <v>36</v>
      </c>
      <c r="Q977">
        <v>0.25857059848925046</v>
      </c>
      <c r="R977" t="s">
        <v>40</v>
      </c>
      <c r="S977">
        <v>3.2568451752808985</v>
      </c>
      <c r="T977">
        <v>0.59029326016120731</v>
      </c>
      <c r="U977" t="s">
        <v>29</v>
      </c>
      <c r="V977">
        <v>0</v>
      </c>
    </row>
    <row r="978" spans="1:22" x14ac:dyDescent="0.3">
      <c r="A978" s="1">
        <v>45150</v>
      </c>
      <c r="B978" t="s">
        <v>42</v>
      </c>
      <c r="C978" t="s">
        <v>31</v>
      </c>
      <c r="D978" t="s">
        <v>32</v>
      </c>
      <c r="E978" t="s">
        <v>33</v>
      </c>
      <c r="F978" t="s">
        <v>26</v>
      </c>
      <c r="G978">
        <v>282</v>
      </c>
      <c r="H978">
        <v>4068</v>
      </c>
      <c r="I978">
        <v>13956.20643</v>
      </c>
      <c r="J978" t="b">
        <v>1</v>
      </c>
      <c r="K978">
        <v>19</v>
      </c>
      <c r="L978" t="b">
        <v>0</v>
      </c>
      <c r="M978">
        <v>42351.12732</v>
      </c>
      <c r="N978">
        <v>2906</v>
      </c>
      <c r="O978">
        <v>8823</v>
      </c>
      <c r="P978" t="s">
        <v>27</v>
      </c>
      <c r="Q978">
        <v>9.7040605643496217E-2</v>
      </c>
      <c r="R978" t="s">
        <v>37</v>
      </c>
      <c r="S978">
        <v>49.490093723404257</v>
      </c>
      <c r="T978">
        <v>0.3293664286523858</v>
      </c>
      <c r="U978" t="s">
        <v>34</v>
      </c>
      <c r="V978">
        <v>0</v>
      </c>
    </row>
    <row r="979" spans="1:22" x14ac:dyDescent="0.3">
      <c r="A979" s="1">
        <v>45149</v>
      </c>
      <c r="B979" t="s">
        <v>38</v>
      </c>
      <c r="C979" t="s">
        <v>31</v>
      </c>
      <c r="D979" t="s">
        <v>32</v>
      </c>
      <c r="E979" t="s">
        <v>25</v>
      </c>
      <c r="F979" t="s">
        <v>26</v>
      </c>
      <c r="G979">
        <v>300</v>
      </c>
      <c r="H979">
        <v>1744</v>
      </c>
      <c r="I979">
        <v>13718.677250000001</v>
      </c>
      <c r="J979" t="b">
        <v>1</v>
      </c>
      <c r="K979">
        <v>16</v>
      </c>
      <c r="L979" t="b">
        <v>0</v>
      </c>
      <c r="M979">
        <v>23197.348979999999</v>
      </c>
      <c r="N979">
        <v>2820.5</v>
      </c>
      <c r="O979">
        <v>7840</v>
      </c>
      <c r="P979" t="s">
        <v>36</v>
      </c>
      <c r="Q979">
        <v>0.10636411983690836</v>
      </c>
      <c r="R979" t="s">
        <v>37</v>
      </c>
      <c r="S979">
        <v>45.728924166666665</v>
      </c>
      <c r="T979">
        <v>0.35975765306122448</v>
      </c>
      <c r="U979" t="s">
        <v>34</v>
      </c>
      <c r="V979">
        <v>0</v>
      </c>
    </row>
    <row r="980" spans="1:22" x14ac:dyDescent="0.3">
      <c r="A980" s="1">
        <v>45148</v>
      </c>
      <c r="B980" t="s">
        <v>30</v>
      </c>
      <c r="C980" t="s">
        <v>41</v>
      </c>
      <c r="D980" t="s">
        <v>35</v>
      </c>
      <c r="E980" t="s">
        <v>45</v>
      </c>
      <c r="F980" t="s">
        <v>26</v>
      </c>
      <c r="G980">
        <v>162</v>
      </c>
      <c r="H980">
        <v>3897</v>
      </c>
      <c r="I980">
        <v>7654.397156</v>
      </c>
      <c r="J980" t="b">
        <v>1</v>
      </c>
      <c r="K980">
        <v>3</v>
      </c>
      <c r="L980" t="b">
        <v>0</v>
      </c>
      <c r="M980">
        <v>16153.511759999999</v>
      </c>
      <c r="N980">
        <v>3590</v>
      </c>
      <c r="O980">
        <v>9767</v>
      </c>
      <c r="P980" t="s">
        <v>27</v>
      </c>
      <c r="Q980">
        <v>4.5125348189415042E-2</v>
      </c>
      <c r="R980" t="s">
        <v>40</v>
      </c>
      <c r="S980">
        <v>47.249365160493824</v>
      </c>
      <c r="T980">
        <v>0.36756424695402889</v>
      </c>
      <c r="U980" t="s">
        <v>34</v>
      </c>
      <c r="V980">
        <v>0</v>
      </c>
    </row>
    <row r="981" spans="1:22" x14ac:dyDescent="0.3">
      <c r="A981" s="1">
        <v>45147</v>
      </c>
      <c r="B981" t="s">
        <v>30</v>
      </c>
      <c r="C981" t="s">
        <v>41</v>
      </c>
      <c r="D981" t="s">
        <v>35</v>
      </c>
      <c r="E981" t="s">
        <v>45</v>
      </c>
      <c r="F981" t="s">
        <v>26</v>
      </c>
      <c r="G981">
        <v>579</v>
      </c>
      <c r="H981">
        <v>3283</v>
      </c>
      <c r="I981">
        <v>12574.05932</v>
      </c>
      <c r="J981" t="b">
        <v>1</v>
      </c>
      <c r="K981">
        <v>2</v>
      </c>
      <c r="L981" t="b">
        <v>0</v>
      </c>
      <c r="M981">
        <v>94659.505130000005</v>
      </c>
      <c r="N981">
        <v>2597</v>
      </c>
      <c r="O981">
        <v>9057</v>
      </c>
      <c r="P981" t="s">
        <v>27</v>
      </c>
      <c r="Q981">
        <v>0.22294955718136311</v>
      </c>
      <c r="R981" t="s">
        <v>40</v>
      </c>
      <c r="S981">
        <v>21.716855474956823</v>
      </c>
      <c r="T981">
        <v>0.2867395384785249</v>
      </c>
      <c r="U981" t="s">
        <v>34</v>
      </c>
      <c r="V981">
        <v>0</v>
      </c>
    </row>
    <row r="982" spans="1:22" x14ac:dyDescent="0.3">
      <c r="A982" s="1">
        <v>45146</v>
      </c>
      <c r="B982" t="s">
        <v>30</v>
      </c>
      <c r="C982" t="s">
        <v>41</v>
      </c>
      <c r="D982" t="s">
        <v>35</v>
      </c>
      <c r="E982" t="s">
        <v>45</v>
      </c>
      <c r="F982" t="s">
        <v>26</v>
      </c>
      <c r="G982">
        <v>274</v>
      </c>
      <c r="H982">
        <v>1911</v>
      </c>
      <c r="I982">
        <v>5586.2755340000003</v>
      </c>
      <c r="J982" t="b">
        <v>1</v>
      </c>
      <c r="K982">
        <v>2</v>
      </c>
      <c r="L982" t="b">
        <v>0</v>
      </c>
      <c r="M982">
        <v>22919.115320000001</v>
      </c>
      <c r="N982">
        <v>1952.5</v>
      </c>
      <c r="O982">
        <v>8585</v>
      </c>
      <c r="P982" t="s">
        <v>36</v>
      </c>
      <c r="Q982">
        <v>0.14033290653008962</v>
      </c>
      <c r="R982" t="s">
        <v>40</v>
      </c>
      <c r="S982">
        <v>20.387866912408761</v>
      </c>
      <c r="T982">
        <v>0.22743156668608036</v>
      </c>
      <c r="U982" t="s">
        <v>34</v>
      </c>
      <c r="V982">
        <v>0</v>
      </c>
    </row>
    <row r="983" spans="1:22" x14ac:dyDescent="0.3">
      <c r="A983" s="1">
        <v>45145</v>
      </c>
      <c r="B983" t="s">
        <v>42</v>
      </c>
      <c r="C983" t="s">
        <v>41</v>
      </c>
      <c r="D983" t="s">
        <v>35</v>
      </c>
      <c r="E983" t="s">
        <v>45</v>
      </c>
      <c r="F983" t="s">
        <v>26</v>
      </c>
      <c r="G983">
        <v>319</v>
      </c>
      <c r="H983">
        <v>1994</v>
      </c>
      <c r="I983">
        <v>8821.9724740000001</v>
      </c>
      <c r="J983" t="b">
        <v>1</v>
      </c>
      <c r="K983">
        <v>9</v>
      </c>
      <c r="L983" t="b">
        <v>0</v>
      </c>
      <c r="M983">
        <v>36827.714419999997</v>
      </c>
      <c r="N983">
        <v>1650.5</v>
      </c>
      <c r="O983">
        <v>6514</v>
      </c>
      <c r="P983" t="s">
        <v>27</v>
      </c>
      <c r="Q983">
        <v>0.19327476522265979</v>
      </c>
      <c r="R983" t="s">
        <v>28</v>
      </c>
      <c r="S983">
        <v>27.655086125391851</v>
      </c>
      <c r="T983">
        <v>0.25337734111145227</v>
      </c>
      <c r="U983" t="s">
        <v>34</v>
      </c>
      <c r="V983">
        <v>0</v>
      </c>
    </row>
    <row r="984" spans="1:22" x14ac:dyDescent="0.3">
      <c r="A984" s="1">
        <v>45144</v>
      </c>
      <c r="B984" t="s">
        <v>22</v>
      </c>
      <c r="C984" t="s">
        <v>31</v>
      </c>
      <c r="D984" t="s">
        <v>35</v>
      </c>
      <c r="E984" t="s">
        <v>25</v>
      </c>
      <c r="F984" t="s">
        <v>43</v>
      </c>
      <c r="G984">
        <v>648</v>
      </c>
      <c r="H984">
        <v>1307</v>
      </c>
      <c r="I984">
        <v>13478.61011</v>
      </c>
      <c r="J984" t="b">
        <v>1</v>
      </c>
      <c r="K984">
        <v>18</v>
      </c>
      <c r="L984" t="b">
        <v>0</v>
      </c>
      <c r="M984">
        <v>121214.29429999999</v>
      </c>
      <c r="N984">
        <v>3034</v>
      </c>
      <c r="O984">
        <v>6028</v>
      </c>
      <c r="P984" t="s">
        <v>36</v>
      </c>
      <c r="Q984">
        <v>0.21357943309162822</v>
      </c>
      <c r="R984" t="s">
        <v>37</v>
      </c>
      <c r="S984">
        <v>20.800324243827159</v>
      </c>
      <c r="T984">
        <v>0.50331785003317853</v>
      </c>
      <c r="U984" t="s">
        <v>29</v>
      </c>
      <c r="V984">
        <v>0</v>
      </c>
    </row>
    <row r="985" spans="1:22" x14ac:dyDescent="0.3">
      <c r="A985" s="1">
        <v>45143</v>
      </c>
      <c r="B985" t="s">
        <v>42</v>
      </c>
      <c r="C985" t="s">
        <v>41</v>
      </c>
      <c r="D985" t="s">
        <v>46</v>
      </c>
      <c r="E985" t="s">
        <v>45</v>
      </c>
      <c r="F985" t="s">
        <v>43</v>
      </c>
      <c r="G985">
        <v>125</v>
      </c>
      <c r="H985">
        <v>4761</v>
      </c>
      <c r="I985">
        <v>4174.0012829999996</v>
      </c>
      <c r="J985" t="b">
        <v>1</v>
      </c>
      <c r="K985">
        <v>2</v>
      </c>
      <c r="L985" t="b">
        <v>0</v>
      </c>
      <c r="M985">
        <v>15305.897059999999</v>
      </c>
      <c r="N985">
        <v>2774</v>
      </c>
      <c r="O985">
        <v>9750</v>
      </c>
      <c r="P985" t="s">
        <v>27</v>
      </c>
      <c r="Q985">
        <v>4.5061283345349673E-2</v>
      </c>
      <c r="R985" t="s">
        <v>40</v>
      </c>
      <c r="S985">
        <v>33.392010264</v>
      </c>
      <c r="T985">
        <v>0.28451282051282051</v>
      </c>
      <c r="U985" t="s">
        <v>34</v>
      </c>
      <c r="V985">
        <v>0</v>
      </c>
    </row>
    <row r="986" spans="1:22" x14ac:dyDescent="0.3">
      <c r="A986" s="1">
        <v>45142</v>
      </c>
      <c r="B986" t="s">
        <v>22</v>
      </c>
      <c r="C986" t="s">
        <v>23</v>
      </c>
      <c r="D986" t="s">
        <v>32</v>
      </c>
      <c r="E986" t="s">
        <v>33</v>
      </c>
      <c r="F986" t="s">
        <v>26</v>
      </c>
      <c r="G986">
        <v>365</v>
      </c>
      <c r="H986">
        <v>787</v>
      </c>
      <c r="I986">
        <v>11428.94256</v>
      </c>
      <c r="J986" t="b">
        <v>1</v>
      </c>
      <c r="K986">
        <v>11</v>
      </c>
      <c r="L986" t="b">
        <v>0</v>
      </c>
      <c r="M986">
        <v>38197.654609999998</v>
      </c>
      <c r="N986">
        <v>1038</v>
      </c>
      <c r="O986">
        <v>6748</v>
      </c>
      <c r="P986" t="s">
        <v>36</v>
      </c>
      <c r="Q986">
        <v>0.3516377649325626</v>
      </c>
      <c r="R986" t="s">
        <v>28</v>
      </c>
      <c r="S986">
        <v>31.312171397260272</v>
      </c>
      <c r="T986">
        <v>0.15382335506816835</v>
      </c>
      <c r="U986" t="s">
        <v>34</v>
      </c>
      <c r="V986">
        <v>0</v>
      </c>
    </row>
    <row r="987" spans="1:22" x14ac:dyDescent="0.3">
      <c r="A987" s="1">
        <v>45141</v>
      </c>
      <c r="B987" t="s">
        <v>30</v>
      </c>
      <c r="C987" t="s">
        <v>44</v>
      </c>
      <c r="D987" t="s">
        <v>46</v>
      </c>
      <c r="E987" t="s">
        <v>25</v>
      </c>
      <c r="F987" t="s">
        <v>26</v>
      </c>
      <c r="G987">
        <v>442</v>
      </c>
      <c r="H987">
        <v>1289</v>
      </c>
      <c r="I987">
        <v>3517.5375020000001</v>
      </c>
      <c r="J987" t="b">
        <v>1</v>
      </c>
      <c r="K987">
        <v>12</v>
      </c>
      <c r="L987" t="b">
        <v>0</v>
      </c>
      <c r="M987">
        <v>81531.553169999999</v>
      </c>
      <c r="N987">
        <v>1348</v>
      </c>
      <c r="O987">
        <v>9009</v>
      </c>
      <c r="P987" t="s">
        <v>36</v>
      </c>
      <c r="Q987">
        <v>0.32789317507418397</v>
      </c>
      <c r="R987" t="s">
        <v>28</v>
      </c>
      <c r="S987">
        <v>7.9582296425339374</v>
      </c>
      <c r="T987">
        <v>0.14962814962814963</v>
      </c>
      <c r="U987" t="s">
        <v>34</v>
      </c>
      <c r="V987">
        <v>0</v>
      </c>
    </row>
    <row r="988" spans="1:22" x14ac:dyDescent="0.3">
      <c r="A988" s="1">
        <v>45140</v>
      </c>
      <c r="B988" t="s">
        <v>30</v>
      </c>
      <c r="C988" t="s">
        <v>23</v>
      </c>
      <c r="D988" t="s">
        <v>32</v>
      </c>
      <c r="E988" t="s">
        <v>45</v>
      </c>
      <c r="F988" t="s">
        <v>26</v>
      </c>
      <c r="G988">
        <v>564</v>
      </c>
      <c r="H988">
        <v>1407</v>
      </c>
      <c r="I988">
        <v>3723.1001160000001</v>
      </c>
      <c r="J988" t="b">
        <v>1</v>
      </c>
      <c r="K988">
        <v>21</v>
      </c>
      <c r="L988" t="b">
        <v>0</v>
      </c>
      <c r="M988">
        <v>24964.67554</v>
      </c>
      <c r="N988">
        <v>2530</v>
      </c>
      <c r="O988">
        <v>6934</v>
      </c>
      <c r="P988" t="s">
        <v>36</v>
      </c>
      <c r="Q988">
        <v>0.22292490118577074</v>
      </c>
      <c r="R988" t="s">
        <v>37</v>
      </c>
      <c r="S988">
        <v>6.6012413404255321</v>
      </c>
      <c r="T988">
        <v>0.36486876261897894</v>
      </c>
      <c r="U988" t="s">
        <v>34</v>
      </c>
      <c r="V988">
        <v>0</v>
      </c>
    </row>
    <row r="989" spans="1:22" x14ac:dyDescent="0.3">
      <c r="A989" s="1">
        <v>45139</v>
      </c>
      <c r="B989" t="s">
        <v>22</v>
      </c>
      <c r="C989" t="s">
        <v>41</v>
      </c>
      <c r="D989" t="s">
        <v>46</v>
      </c>
      <c r="E989" t="s">
        <v>25</v>
      </c>
      <c r="F989" t="s">
        <v>26</v>
      </c>
      <c r="G989">
        <v>812</v>
      </c>
      <c r="H989">
        <v>3653</v>
      </c>
      <c r="I989">
        <v>14653.24735</v>
      </c>
      <c r="J989" t="b">
        <v>0</v>
      </c>
      <c r="K989">
        <v>22</v>
      </c>
      <c r="L989" t="b">
        <v>0</v>
      </c>
      <c r="M989">
        <v>78709.995360000001</v>
      </c>
      <c r="N989">
        <v>3603.5</v>
      </c>
      <c r="O989">
        <v>8367</v>
      </c>
      <c r="P989" t="s">
        <v>27</v>
      </c>
      <c r="Q989">
        <v>0.22533647842375468</v>
      </c>
      <c r="R989" t="s">
        <v>37</v>
      </c>
      <c r="S989">
        <v>18.045871120689654</v>
      </c>
      <c r="T989">
        <v>0.43068005258754632</v>
      </c>
      <c r="U989" t="s">
        <v>29</v>
      </c>
      <c r="V989">
        <v>0</v>
      </c>
    </row>
    <row r="990" spans="1:22" x14ac:dyDescent="0.3">
      <c r="A990" s="1">
        <v>45138</v>
      </c>
      <c r="B990" t="s">
        <v>30</v>
      </c>
      <c r="C990" t="s">
        <v>44</v>
      </c>
      <c r="D990" t="s">
        <v>32</v>
      </c>
      <c r="E990" t="s">
        <v>45</v>
      </c>
      <c r="F990" t="s">
        <v>39</v>
      </c>
      <c r="G990">
        <v>828</v>
      </c>
      <c r="H990">
        <v>3554</v>
      </c>
      <c r="I990">
        <v>13856.58626</v>
      </c>
      <c r="J990" t="b">
        <v>1</v>
      </c>
      <c r="K990">
        <v>9</v>
      </c>
      <c r="L990" t="b">
        <v>1</v>
      </c>
      <c r="M990">
        <v>30175.380089999999</v>
      </c>
      <c r="N990">
        <v>3016</v>
      </c>
      <c r="O990">
        <v>6156</v>
      </c>
      <c r="P990" t="s">
        <v>27</v>
      </c>
      <c r="Q990">
        <v>0.27453580901856767</v>
      </c>
      <c r="R990" t="s">
        <v>28</v>
      </c>
      <c r="S990">
        <v>16.735007560386475</v>
      </c>
      <c r="T990">
        <v>0.48992852501624429</v>
      </c>
      <c r="U990" t="s">
        <v>29</v>
      </c>
      <c r="V990">
        <v>1</v>
      </c>
    </row>
    <row r="991" spans="1:22" x14ac:dyDescent="0.3">
      <c r="A991" s="1">
        <v>45137</v>
      </c>
      <c r="B991" t="s">
        <v>30</v>
      </c>
      <c r="C991" t="s">
        <v>23</v>
      </c>
      <c r="D991" t="s">
        <v>32</v>
      </c>
      <c r="E991" t="s">
        <v>33</v>
      </c>
      <c r="F991" t="s">
        <v>26</v>
      </c>
      <c r="G991">
        <v>808</v>
      </c>
      <c r="H991">
        <v>2478</v>
      </c>
      <c r="I991">
        <v>712.38334550000002</v>
      </c>
      <c r="J991" t="b">
        <v>1</v>
      </c>
      <c r="K991">
        <v>29</v>
      </c>
      <c r="L991" t="b">
        <v>0</v>
      </c>
      <c r="M991">
        <v>27635.482080000002</v>
      </c>
      <c r="N991">
        <v>2020</v>
      </c>
      <c r="O991">
        <v>6656</v>
      </c>
      <c r="P991" t="s">
        <v>27</v>
      </c>
      <c r="Q991">
        <v>0.4</v>
      </c>
      <c r="R991" t="s">
        <v>37</v>
      </c>
      <c r="S991">
        <v>0.88166255631188117</v>
      </c>
      <c r="T991">
        <v>0.30348557692307693</v>
      </c>
      <c r="U991" t="s">
        <v>34</v>
      </c>
      <c r="V991">
        <v>0</v>
      </c>
    </row>
    <row r="992" spans="1:22" x14ac:dyDescent="0.3">
      <c r="A992" s="1">
        <v>45136</v>
      </c>
      <c r="B992" t="s">
        <v>22</v>
      </c>
      <c r="C992" t="s">
        <v>44</v>
      </c>
      <c r="D992" t="s">
        <v>32</v>
      </c>
      <c r="E992" t="s">
        <v>25</v>
      </c>
      <c r="F992" t="s">
        <v>26</v>
      </c>
      <c r="G992">
        <v>929</v>
      </c>
      <c r="H992">
        <v>1562</v>
      </c>
      <c r="I992">
        <v>7511.8314929999997</v>
      </c>
      <c r="J992" t="b">
        <v>1</v>
      </c>
      <c r="K992">
        <v>8</v>
      </c>
      <c r="L992" t="b">
        <v>0</v>
      </c>
      <c r="M992">
        <v>158546.8407</v>
      </c>
      <c r="N992">
        <v>2429.5</v>
      </c>
      <c r="O992">
        <v>7101</v>
      </c>
      <c r="P992" t="s">
        <v>36</v>
      </c>
      <c r="Q992">
        <v>0.38238320642107432</v>
      </c>
      <c r="R992" t="s">
        <v>28</v>
      </c>
      <c r="S992">
        <v>8.085932715823466</v>
      </c>
      <c r="T992">
        <v>0.34213491057597523</v>
      </c>
      <c r="U992" t="s">
        <v>34</v>
      </c>
      <c r="V992">
        <v>0</v>
      </c>
    </row>
    <row r="993" spans="1:22" x14ac:dyDescent="0.3">
      <c r="A993" s="1">
        <v>45135</v>
      </c>
      <c r="B993" t="s">
        <v>38</v>
      </c>
      <c r="C993" t="s">
        <v>31</v>
      </c>
      <c r="D993" t="s">
        <v>46</v>
      </c>
      <c r="E993" t="s">
        <v>45</v>
      </c>
      <c r="F993" t="s">
        <v>26</v>
      </c>
      <c r="G993">
        <v>199</v>
      </c>
      <c r="H993">
        <v>3297</v>
      </c>
      <c r="I993">
        <v>1197.145043</v>
      </c>
      <c r="J993" t="b">
        <v>1</v>
      </c>
      <c r="K993">
        <v>22</v>
      </c>
      <c r="L993" t="b">
        <v>0</v>
      </c>
      <c r="M993">
        <v>6836.2351269999999</v>
      </c>
      <c r="N993">
        <v>2789</v>
      </c>
      <c r="O993">
        <v>5959</v>
      </c>
      <c r="P993" t="s">
        <v>27</v>
      </c>
      <c r="Q993">
        <v>7.1351738974542847E-2</v>
      </c>
      <c r="R993" t="s">
        <v>37</v>
      </c>
      <c r="S993">
        <v>6.0158042361809043</v>
      </c>
      <c r="T993">
        <v>0.46803154891760362</v>
      </c>
      <c r="U993" t="s">
        <v>29</v>
      </c>
      <c r="V993">
        <v>0</v>
      </c>
    </row>
    <row r="994" spans="1:22" x14ac:dyDescent="0.3">
      <c r="A994" s="1">
        <v>45134</v>
      </c>
      <c r="B994" t="s">
        <v>42</v>
      </c>
      <c r="C994" t="s">
        <v>41</v>
      </c>
      <c r="D994" t="s">
        <v>24</v>
      </c>
      <c r="E994" t="s">
        <v>45</v>
      </c>
      <c r="F994" t="s">
        <v>26</v>
      </c>
      <c r="G994">
        <v>242</v>
      </c>
      <c r="H994">
        <v>2281</v>
      </c>
      <c r="I994">
        <v>9507.7846919999993</v>
      </c>
      <c r="J994" t="b">
        <v>1</v>
      </c>
      <c r="K994">
        <v>29</v>
      </c>
      <c r="L994" t="b">
        <v>0</v>
      </c>
      <c r="M994">
        <v>13504.840179999999</v>
      </c>
      <c r="N994">
        <v>1647</v>
      </c>
      <c r="O994">
        <v>8621</v>
      </c>
      <c r="P994" t="s">
        <v>27</v>
      </c>
      <c r="Q994">
        <v>0.14693381906496661</v>
      </c>
      <c r="R994" t="s">
        <v>37</v>
      </c>
      <c r="S994">
        <v>39.288366495867763</v>
      </c>
      <c r="T994">
        <v>0.19104512237559448</v>
      </c>
      <c r="U994" t="s">
        <v>34</v>
      </c>
      <c r="V994">
        <v>0</v>
      </c>
    </row>
    <row r="995" spans="1:22" x14ac:dyDescent="0.3">
      <c r="A995" s="1">
        <v>45133</v>
      </c>
      <c r="B995" t="s">
        <v>42</v>
      </c>
      <c r="C995" t="s">
        <v>44</v>
      </c>
      <c r="D995" t="s">
        <v>32</v>
      </c>
      <c r="E995" t="s">
        <v>25</v>
      </c>
      <c r="F995" t="s">
        <v>43</v>
      </c>
      <c r="G995">
        <v>583</v>
      </c>
      <c r="H995">
        <v>1013</v>
      </c>
      <c r="I995">
        <v>3657.0690450000002</v>
      </c>
      <c r="J995" t="b">
        <v>1</v>
      </c>
      <c r="K995">
        <v>3</v>
      </c>
      <c r="L995" t="b">
        <v>0</v>
      </c>
      <c r="M995">
        <v>82715.007939999996</v>
      </c>
      <c r="N995">
        <v>2863</v>
      </c>
      <c r="O995">
        <v>8562</v>
      </c>
      <c r="P995" t="s">
        <v>36</v>
      </c>
      <c r="Q995">
        <v>0.20363255326580509</v>
      </c>
      <c r="R995" t="s">
        <v>40</v>
      </c>
      <c r="S995">
        <v>6.272845703259005</v>
      </c>
      <c r="T995">
        <v>0.33438448960523243</v>
      </c>
      <c r="U995" t="s">
        <v>34</v>
      </c>
      <c r="V995">
        <v>0</v>
      </c>
    </row>
    <row r="996" spans="1:22" x14ac:dyDescent="0.3">
      <c r="A996" s="1">
        <v>45132</v>
      </c>
      <c r="B996" t="s">
        <v>22</v>
      </c>
      <c r="C996" t="s">
        <v>23</v>
      </c>
      <c r="D996" t="s">
        <v>35</v>
      </c>
      <c r="E996" t="s">
        <v>33</v>
      </c>
      <c r="F996" t="s">
        <v>26</v>
      </c>
      <c r="G996">
        <v>340</v>
      </c>
      <c r="H996">
        <v>4713</v>
      </c>
      <c r="I996">
        <v>11731.29521</v>
      </c>
      <c r="J996" t="b">
        <v>1</v>
      </c>
      <c r="K996">
        <v>29</v>
      </c>
      <c r="L996" t="b">
        <v>0</v>
      </c>
      <c r="M996">
        <v>57227.599820000003</v>
      </c>
      <c r="N996">
        <v>4402.5</v>
      </c>
      <c r="O996">
        <v>9918</v>
      </c>
      <c r="P996" t="s">
        <v>27</v>
      </c>
      <c r="Q996">
        <v>7.7228847245883026E-2</v>
      </c>
      <c r="R996" t="s">
        <v>37</v>
      </c>
      <c r="S996">
        <v>34.503809441176472</v>
      </c>
      <c r="T996">
        <v>0.44388989715668481</v>
      </c>
      <c r="U996" t="s">
        <v>29</v>
      </c>
      <c r="V996">
        <v>0</v>
      </c>
    </row>
    <row r="997" spans="1:22" x14ac:dyDescent="0.3">
      <c r="A997" s="1">
        <v>45131</v>
      </c>
      <c r="B997" t="s">
        <v>42</v>
      </c>
      <c r="C997" t="s">
        <v>44</v>
      </c>
      <c r="D997" t="s">
        <v>35</v>
      </c>
      <c r="E997" t="s">
        <v>33</v>
      </c>
      <c r="F997" t="s">
        <v>26</v>
      </c>
      <c r="G997">
        <v>503</v>
      </c>
      <c r="H997">
        <v>4092</v>
      </c>
      <c r="I997">
        <v>11939.441849999999</v>
      </c>
      <c r="J997" t="b">
        <v>1</v>
      </c>
      <c r="K997">
        <v>13</v>
      </c>
      <c r="L997" t="b">
        <v>0</v>
      </c>
      <c r="M997">
        <v>17550.834419999999</v>
      </c>
      <c r="N997">
        <v>3392.5</v>
      </c>
      <c r="O997">
        <v>5941</v>
      </c>
      <c r="P997" t="s">
        <v>27</v>
      </c>
      <c r="Q997">
        <v>0.14826823876197495</v>
      </c>
      <c r="R997" t="s">
        <v>28</v>
      </c>
      <c r="S997">
        <v>23.736464910536778</v>
      </c>
      <c r="T997">
        <v>0.57103181282612359</v>
      </c>
      <c r="U997" t="s">
        <v>29</v>
      </c>
      <c r="V997">
        <v>0</v>
      </c>
    </row>
    <row r="998" spans="1:22" x14ac:dyDescent="0.3">
      <c r="A998" s="1">
        <v>45130</v>
      </c>
      <c r="B998" t="s">
        <v>22</v>
      </c>
      <c r="C998" t="s">
        <v>44</v>
      </c>
      <c r="D998" t="s">
        <v>24</v>
      </c>
      <c r="E998" t="s">
        <v>33</v>
      </c>
      <c r="F998" t="s">
        <v>26</v>
      </c>
      <c r="G998">
        <v>553</v>
      </c>
      <c r="H998">
        <v>2693</v>
      </c>
      <c r="I998">
        <v>3543.811663</v>
      </c>
      <c r="J998" t="b">
        <v>1</v>
      </c>
      <c r="K998">
        <v>10</v>
      </c>
      <c r="L998" t="b">
        <v>0</v>
      </c>
      <c r="M998">
        <v>72764.642120000004</v>
      </c>
      <c r="N998">
        <v>1911.5</v>
      </c>
      <c r="O998">
        <v>8681</v>
      </c>
      <c r="P998" t="s">
        <v>27</v>
      </c>
      <c r="Q998">
        <v>0.28930159560554536</v>
      </c>
      <c r="R998" t="s">
        <v>28</v>
      </c>
      <c r="S998">
        <v>6.4083393544303799</v>
      </c>
      <c r="T998">
        <v>0.22019352609146411</v>
      </c>
      <c r="U998" t="s">
        <v>34</v>
      </c>
      <c r="V998">
        <v>0</v>
      </c>
    </row>
    <row r="999" spans="1:22" x14ac:dyDescent="0.3">
      <c r="A999" s="1">
        <v>45129</v>
      </c>
      <c r="B999" t="s">
        <v>30</v>
      </c>
      <c r="C999" t="s">
        <v>41</v>
      </c>
      <c r="D999" t="s">
        <v>46</v>
      </c>
      <c r="E999" t="s">
        <v>25</v>
      </c>
      <c r="F999" t="s">
        <v>26</v>
      </c>
      <c r="G999">
        <v>775</v>
      </c>
      <c r="H999">
        <v>1130</v>
      </c>
      <c r="I999">
        <v>14332.082909999999</v>
      </c>
      <c r="J999" t="b">
        <v>1</v>
      </c>
      <c r="K999">
        <v>20</v>
      </c>
      <c r="L999" t="b">
        <v>0</v>
      </c>
      <c r="M999">
        <v>125276.4708</v>
      </c>
      <c r="N999">
        <v>1101</v>
      </c>
      <c r="O999">
        <v>9662</v>
      </c>
      <c r="P999" t="s">
        <v>27</v>
      </c>
      <c r="Q999">
        <v>0.70390554041780196</v>
      </c>
      <c r="R999" t="s">
        <v>37</v>
      </c>
      <c r="S999">
        <v>18.493010206451611</v>
      </c>
      <c r="T999">
        <v>0.113951562823432</v>
      </c>
      <c r="U999" t="s">
        <v>34</v>
      </c>
      <c r="V999">
        <v>0</v>
      </c>
    </row>
    <row r="1000" spans="1:22" x14ac:dyDescent="0.3">
      <c r="A1000" s="1">
        <v>45128</v>
      </c>
      <c r="B1000" t="s">
        <v>42</v>
      </c>
      <c r="C1000" t="s">
        <v>31</v>
      </c>
      <c r="D1000" t="s">
        <v>24</v>
      </c>
      <c r="E1000" t="s">
        <v>33</v>
      </c>
      <c r="F1000" t="s">
        <v>26</v>
      </c>
      <c r="G1000">
        <v>465</v>
      </c>
      <c r="H1000">
        <v>1072</v>
      </c>
      <c r="I1000">
        <v>978.67307059999996</v>
      </c>
      <c r="J1000" t="b">
        <v>1</v>
      </c>
      <c r="K1000">
        <v>8</v>
      </c>
      <c r="L1000" t="b">
        <v>0</v>
      </c>
      <c r="M1000">
        <v>41619.616560000002</v>
      </c>
      <c r="N1000">
        <v>1696</v>
      </c>
      <c r="O1000">
        <v>8698</v>
      </c>
      <c r="P1000" t="s">
        <v>36</v>
      </c>
      <c r="Q1000">
        <v>0.27417452830188677</v>
      </c>
      <c r="R1000" t="s">
        <v>28</v>
      </c>
      <c r="S1000">
        <v>2.1046732701075266</v>
      </c>
      <c r="T1000">
        <v>0.19498735341457807</v>
      </c>
      <c r="U1000" t="s">
        <v>34</v>
      </c>
      <c r="V1000">
        <v>0</v>
      </c>
    </row>
    <row r="1001" spans="1:22" x14ac:dyDescent="0.3">
      <c r="A1001" s="1">
        <v>45127</v>
      </c>
      <c r="B1001" t="s">
        <v>30</v>
      </c>
      <c r="C1001" t="s">
        <v>31</v>
      </c>
      <c r="D1001" t="s">
        <v>46</v>
      </c>
      <c r="E1001" t="s">
        <v>45</v>
      </c>
      <c r="F1001" t="s">
        <v>43</v>
      </c>
      <c r="G1001">
        <v>950</v>
      </c>
      <c r="H1001">
        <v>2320</v>
      </c>
      <c r="I1001">
        <v>6763.8458860000001</v>
      </c>
      <c r="J1001" t="b">
        <v>1</v>
      </c>
      <c r="K1001">
        <v>27</v>
      </c>
      <c r="L1001" t="b">
        <v>0</v>
      </c>
      <c r="M1001">
        <v>181905.78820000001</v>
      </c>
      <c r="N1001">
        <v>3097</v>
      </c>
      <c r="O1001">
        <v>7167</v>
      </c>
      <c r="P1001" t="s">
        <v>36</v>
      </c>
      <c r="Q1001">
        <v>0.30674846625766872</v>
      </c>
      <c r="R1001" t="s">
        <v>37</v>
      </c>
      <c r="S1001">
        <v>7.1198377747368422</v>
      </c>
      <c r="T1001">
        <v>0.43211943630528815</v>
      </c>
      <c r="U1001" t="s">
        <v>29</v>
      </c>
      <c r="V1001">
        <v>0</v>
      </c>
    </row>
    <row r="1002" spans="1:22" x14ac:dyDescent="0.3">
      <c r="A1002" s="1">
        <v>45126</v>
      </c>
      <c r="B1002" t="s">
        <v>30</v>
      </c>
      <c r="C1002" t="s">
        <v>41</v>
      </c>
      <c r="D1002" t="s">
        <v>35</v>
      </c>
      <c r="E1002" t="s">
        <v>33</v>
      </c>
      <c r="F1002" t="s">
        <v>26</v>
      </c>
      <c r="G1002">
        <v>858</v>
      </c>
      <c r="H1002">
        <v>3874</v>
      </c>
      <c r="I1002">
        <v>777.93436910000003</v>
      </c>
      <c r="J1002" t="b">
        <v>1</v>
      </c>
      <c r="K1002">
        <v>27</v>
      </c>
      <c r="L1002" t="b">
        <v>0</v>
      </c>
      <c r="M1002">
        <v>155869.38570000001</v>
      </c>
      <c r="N1002">
        <v>2635</v>
      </c>
      <c r="O1002">
        <v>8913</v>
      </c>
      <c r="P1002" t="s">
        <v>27</v>
      </c>
      <c r="Q1002">
        <v>0.32561669829222012</v>
      </c>
      <c r="R1002" t="s">
        <v>37</v>
      </c>
      <c r="S1002">
        <v>0.90668341386946394</v>
      </c>
      <c r="T1002">
        <v>0.29563558846628518</v>
      </c>
      <c r="U1002" t="s">
        <v>34</v>
      </c>
      <c r="V1002">
        <v>0</v>
      </c>
    </row>
    <row r="1003" spans="1:22" x14ac:dyDescent="0.3">
      <c r="A1003" s="1">
        <v>45125</v>
      </c>
      <c r="B1003" t="s">
        <v>22</v>
      </c>
      <c r="C1003" t="s">
        <v>23</v>
      </c>
      <c r="D1003" t="s">
        <v>35</v>
      </c>
      <c r="E1003" t="s">
        <v>45</v>
      </c>
      <c r="F1003" t="s">
        <v>26</v>
      </c>
      <c r="G1003">
        <v>898</v>
      </c>
      <c r="H1003">
        <v>1396</v>
      </c>
      <c r="I1003">
        <v>4849.1081020000001</v>
      </c>
      <c r="J1003" t="b">
        <v>1</v>
      </c>
      <c r="K1003">
        <v>3</v>
      </c>
      <c r="L1003" t="b">
        <v>0</v>
      </c>
      <c r="M1003">
        <v>176622.4344</v>
      </c>
      <c r="N1003">
        <v>1536.5</v>
      </c>
      <c r="O1003">
        <v>5743</v>
      </c>
      <c r="P1003" t="s">
        <v>36</v>
      </c>
      <c r="Q1003">
        <v>0.5844451675886756</v>
      </c>
      <c r="R1003" t="s">
        <v>40</v>
      </c>
      <c r="S1003">
        <v>5.3998976636971046</v>
      </c>
      <c r="T1003">
        <v>0.267543095942887</v>
      </c>
      <c r="U1003" t="s">
        <v>34</v>
      </c>
      <c r="V1003">
        <v>0</v>
      </c>
    </row>
    <row r="1004" spans="1:22" x14ac:dyDescent="0.3">
      <c r="A1004" s="1">
        <v>45124</v>
      </c>
      <c r="B1004" t="s">
        <v>42</v>
      </c>
      <c r="C1004" t="s">
        <v>31</v>
      </c>
      <c r="D1004" t="s">
        <v>24</v>
      </c>
      <c r="E1004" t="s">
        <v>25</v>
      </c>
      <c r="F1004" t="s">
        <v>43</v>
      </c>
      <c r="G1004">
        <v>501</v>
      </c>
      <c r="H1004">
        <v>1677</v>
      </c>
      <c r="I1004">
        <v>14279.4517</v>
      </c>
      <c r="J1004" t="b">
        <v>1</v>
      </c>
      <c r="K1004">
        <v>29</v>
      </c>
      <c r="L1004" t="b">
        <v>0</v>
      </c>
      <c r="M1004">
        <v>61222.125930000002</v>
      </c>
      <c r="N1004">
        <v>1766</v>
      </c>
      <c r="O1004">
        <v>6393</v>
      </c>
      <c r="P1004" t="s">
        <v>36</v>
      </c>
      <c r="Q1004">
        <v>0.28369195922989809</v>
      </c>
      <c r="R1004" t="s">
        <v>37</v>
      </c>
      <c r="S1004">
        <v>28.501899600798403</v>
      </c>
      <c r="T1004">
        <v>0.27623963710308147</v>
      </c>
      <c r="U1004" t="s">
        <v>34</v>
      </c>
      <c r="V1004">
        <v>0</v>
      </c>
    </row>
    <row r="1005" spans="1:22" x14ac:dyDescent="0.3">
      <c r="A1005" s="1">
        <v>45123</v>
      </c>
      <c r="B1005" t="s">
        <v>38</v>
      </c>
      <c r="C1005" t="s">
        <v>31</v>
      </c>
      <c r="D1005" t="s">
        <v>35</v>
      </c>
      <c r="E1005" t="s">
        <v>45</v>
      </c>
      <c r="F1005" t="s">
        <v>39</v>
      </c>
      <c r="G1005">
        <v>437</v>
      </c>
      <c r="H1005">
        <v>1855</v>
      </c>
      <c r="I1005">
        <v>7709.8233280000004</v>
      </c>
      <c r="J1005" t="b">
        <v>1</v>
      </c>
      <c r="K1005">
        <v>5</v>
      </c>
      <c r="L1005" t="b">
        <v>0</v>
      </c>
      <c r="M1005">
        <v>33229.94485</v>
      </c>
      <c r="N1005">
        <v>2874</v>
      </c>
      <c r="O1005">
        <v>8019</v>
      </c>
      <c r="P1005" t="s">
        <v>36</v>
      </c>
      <c r="Q1005">
        <v>0.15205288796102992</v>
      </c>
      <c r="R1005" t="s">
        <v>40</v>
      </c>
      <c r="S1005">
        <v>17.642616311212816</v>
      </c>
      <c r="T1005">
        <v>0.35839880284324727</v>
      </c>
      <c r="U1005" t="s">
        <v>34</v>
      </c>
      <c r="V1005">
        <v>0</v>
      </c>
    </row>
    <row r="1006" spans="1:22" x14ac:dyDescent="0.3">
      <c r="A1006" s="1">
        <v>45122</v>
      </c>
      <c r="B1006" t="s">
        <v>38</v>
      </c>
      <c r="C1006" t="s">
        <v>44</v>
      </c>
      <c r="D1006" t="s">
        <v>32</v>
      </c>
      <c r="E1006" t="s">
        <v>45</v>
      </c>
      <c r="F1006" t="s">
        <v>26</v>
      </c>
      <c r="G1006">
        <v>145</v>
      </c>
      <c r="H1006">
        <v>3893</v>
      </c>
      <c r="I1006">
        <v>10256.059499999999</v>
      </c>
      <c r="J1006" t="b">
        <v>1</v>
      </c>
      <c r="K1006">
        <v>22</v>
      </c>
      <c r="L1006" t="b">
        <v>0</v>
      </c>
      <c r="M1006">
        <v>23164.126700000001</v>
      </c>
      <c r="N1006">
        <v>3824</v>
      </c>
      <c r="O1006">
        <v>5295</v>
      </c>
      <c r="P1006" t="s">
        <v>27</v>
      </c>
      <c r="Q1006">
        <v>3.7918410041841003E-2</v>
      </c>
      <c r="R1006" t="s">
        <v>37</v>
      </c>
      <c r="S1006">
        <v>70.731444827586202</v>
      </c>
      <c r="T1006">
        <v>0.72219074598678001</v>
      </c>
      <c r="U1006" t="s">
        <v>29</v>
      </c>
      <c r="V1006">
        <v>0</v>
      </c>
    </row>
    <row r="1007" spans="1:22" x14ac:dyDescent="0.3">
      <c r="A1007" s="1">
        <v>45121</v>
      </c>
      <c r="B1007" t="s">
        <v>30</v>
      </c>
      <c r="C1007" t="s">
        <v>41</v>
      </c>
      <c r="D1007" t="s">
        <v>24</v>
      </c>
      <c r="E1007" t="s">
        <v>45</v>
      </c>
      <c r="F1007" t="s">
        <v>39</v>
      </c>
      <c r="G1007">
        <v>450</v>
      </c>
      <c r="H1007">
        <v>3755</v>
      </c>
      <c r="I1007">
        <v>12233.32465</v>
      </c>
      <c r="J1007" t="b">
        <v>1</v>
      </c>
      <c r="K1007">
        <v>15</v>
      </c>
      <c r="L1007" t="b">
        <v>0</v>
      </c>
      <c r="M1007">
        <v>64637.772349999999</v>
      </c>
      <c r="N1007">
        <v>4091</v>
      </c>
      <c r="O1007">
        <v>6936</v>
      </c>
      <c r="P1007" t="s">
        <v>36</v>
      </c>
      <c r="Q1007">
        <v>0.10999755560987534</v>
      </c>
      <c r="R1007" t="s">
        <v>37</v>
      </c>
      <c r="S1007">
        <v>27.185165888888889</v>
      </c>
      <c r="T1007">
        <v>0.58982122260668979</v>
      </c>
      <c r="U1007" t="s">
        <v>29</v>
      </c>
      <c r="V1007">
        <v>0</v>
      </c>
    </row>
    <row r="1008" spans="1:22" x14ac:dyDescent="0.3">
      <c r="A1008" s="1">
        <v>45120</v>
      </c>
      <c r="B1008" t="s">
        <v>30</v>
      </c>
      <c r="C1008" t="s">
        <v>44</v>
      </c>
      <c r="D1008" t="s">
        <v>32</v>
      </c>
      <c r="E1008" t="s">
        <v>33</v>
      </c>
      <c r="F1008" t="s">
        <v>39</v>
      </c>
      <c r="G1008">
        <v>860</v>
      </c>
      <c r="H1008">
        <v>4427</v>
      </c>
      <c r="I1008">
        <v>10075.629660000001</v>
      </c>
      <c r="J1008" t="b">
        <v>1</v>
      </c>
      <c r="K1008">
        <v>13</v>
      </c>
      <c r="L1008" t="b">
        <v>0</v>
      </c>
      <c r="M1008">
        <v>117381.5711</v>
      </c>
      <c r="N1008">
        <v>2318.5</v>
      </c>
      <c r="O1008">
        <v>9788</v>
      </c>
      <c r="P1008" t="s">
        <v>27</v>
      </c>
      <c r="Q1008">
        <v>0.37092948026741429</v>
      </c>
      <c r="R1008" t="s">
        <v>28</v>
      </c>
      <c r="S1008">
        <v>11.715848441860466</v>
      </c>
      <c r="T1008">
        <v>0.23687167960768288</v>
      </c>
      <c r="U1008" t="s">
        <v>34</v>
      </c>
      <c r="V1008">
        <v>0</v>
      </c>
    </row>
    <row r="1009" spans="1:22" x14ac:dyDescent="0.3">
      <c r="A1009" s="1">
        <v>45119</v>
      </c>
      <c r="B1009" t="s">
        <v>22</v>
      </c>
      <c r="C1009" t="s">
        <v>23</v>
      </c>
      <c r="D1009" t="s">
        <v>35</v>
      </c>
      <c r="E1009" t="s">
        <v>33</v>
      </c>
      <c r="F1009" t="s">
        <v>39</v>
      </c>
      <c r="G1009">
        <v>700</v>
      </c>
      <c r="H1009">
        <v>210</v>
      </c>
      <c r="I1009">
        <v>1526.4758220000001</v>
      </c>
      <c r="J1009" t="b">
        <v>1</v>
      </c>
      <c r="K1009">
        <v>10</v>
      </c>
      <c r="L1009" t="b">
        <v>0</v>
      </c>
      <c r="M1009">
        <v>86946.084199999998</v>
      </c>
      <c r="N1009">
        <v>738.5</v>
      </c>
      <c r="O1009">
        <v>6060</v>
      </c>
      <c r="P1009" t="s">
        <v>36</v>
      </c>
      <c r="Q1009">
        <v>0.94786729857819907</v>
      </c>
      <c r="R1009" t="s">
        <v>28</v>
      </c>
      <c r="S1009">
        <v>2.1806797457142859</v>
      </c>
      <c r="T1009">
        <v>0.12186468646864687</v>
      </c>
      <c r="U1009" t="s">
        <v>34</v>
      </c>
      <c r="V1009">
        <v>0</v>
      </c>
    </row>
    <row r="1010" spans="1:22" x14ac:dyDescent="0.3">
      <c r="A1010" s="1">
        <v>45118</v>
      </c>
      <c r="B1010" t="s">
        <v>30</v>
      </c>
      <c r="C1010" t="s">
        <v>44</v>
      </c>
      <c r="D1010" t="s">
        <v>46</v>
      </c>
      <c r="E1010" t="s">
        <v>33</v>
      </c>
      <c r="F1010" t="s">
        <v>43</v>
      </c>
      <c r="G1010">
        <v>155</v>
      </c>
      <c r="H1010">
        <v>1267</v>
      </c>
      <c r="I1010">
        <v>11764.959349999999</v>
      </c>
      <c r="J1010" t="b">
        <v>1</v>
      </c>
      <c r="K1010">
        <v>9</v>
      </c>
      <c r="L1010" t="b">
        <v>0</v>
      </c>
      <c r="M1010">
        <v>9637.1122720000003</v>
      </c>
      <c r="N1010">
        <v>1859.5</v>
      </c>
      <c r="O1010">
        <v>8316</v>
      </c>
      <c r="P1010" t="s">
        <v>36</v>
      </c>
      <c r="Q1010">
        <v>8.3355740790535093E-2</v>
      </c>
      <c r="R1010" t="s">
        <v>28</v>
      </c>
      <c r="S1010">
        <v>75.902963548387092</v>
      </c>
      <c r="T1010">
        <v>0.22360509860509861</v>
      </c>
      <c r="U1010" t="s">
        <v>34</v>
      </c>
      <c r="V1010">
        <v>0</v>
      </c>
    </row>
    <row r="1011" spans="1:22" x14ac:dyDescent="0.3">
      <c r="A1011" s="1">
        <v>45117</v>
      </c>
      <c r="B1011" t="s">
        <v>30</v>
      </c>
      <c r="C1011" t="s">
        <v>44</v>
      </c>
      <c r="D1011" t="s">
        <v>46</v>
      </c>
      <c r="E1011" t="s">
        <v>33</v>
      </c>
      <c r="F1011" t="s">
        <v>26</v>
      </c>
      <c r="G1011">
        <v>884</v>
      </c>
      <c r="H1011">
        <v>2452</v>
      </c>
      <c r="I1011">
        <v>5173.7099550000003</v>
      </c>
      <c r="J1011" t="b">
        <v>1</v>
      </c>
      <c r="K1011">
        <v>21</v>
      </c>
      <c r="L1011" t="b">
        <v>0</v>
      </c>
      <c r="M1011">
        <v>119030.2127</v>
      </c>
      <c r="N1011">
        <v>2734.5</v>
      </c>
      <c r="O1011">
        <v>5141</v>
      </c>
      <c r="P1011" t="s">
        <v>36</v>
      </c>
      <c r="Q1011">
        <v>0.32327665021027613</v>
      </c>
      <c r="R1011" t="s">
        <v>37</v>
      </c>
      <c r="S1011">
        <v>5.8526130712669691</v>
      </c>
      <c r="T1011">
        <v>0.5319004084808403</v>
      </c>
      <c r="U1011" t="s">
        <v>29</v>
      </c>
      <c r="V1011">
        <v>0</v>
      </c>
    </row>
    <row r="1012" spans="1:22" x14ac:dyDescent="0.3">
      <c r="A1012" s="1">
        <v>45116</v>
      </c>
      <c r="B1012" t="s">
        <v>38</v>
      </c>
      <c r="C1012" t="s">
        <v>41</v>
      </c>
      <c r="D1012" t="s">
        <v>35</v>
      </c>
      <c r="E1012" t="s">
        <v>45</v>
      </c>
      <c r="F1012" t="s">
        <v>39</v>
      </c>
      <c r="G1012">
        <v>496</v>
      </c>
      <c r="H1012">
        <v>3017</v>
      </c>
      <c r="I1012">
        <v>9232.7163839999994</v>
      </c>
      <c r="J1012" t="b">
        <v>1</v>
      </c>
      <c r="K1012">
        <v>9</v>
      </c>
      <c r="L1012" t="b">
        <v>0</v>
      </c>
      <c r="M1012">
        <v>56513.009850000002</v>
      </c>
      <c r="N1012">
        <v>2316</v>
      </c>
      <c r="O1012">
        <v>6529</v>
      </c>
      <c r="P1012" t="s">
        <v>27</v>
      </c>
      <c r="Q1012">
        <v>0.21416234887737479</v>
      </c>
      <c r="R1012" t="s">
        <v>28</v>
      </c>
      <c r="S1012">
        <v>18.614347548387094</v>
      </c>
      <c r="T1012">
        <v>0.35472507275233572</v>
      </c>
      <c r="U1012" t="s">
        <v>34</v>
      </c>
      <c r="V1012">
        <v>0</v>
      </c>
    </row>
    <row r="1013" spans="1:22" x14ac:dyDescent="0.3">
      <c r="A1013" s="1">
        <v>45115</v>
      </c>
      <c r="B1013" t="s">
        <v>30</v>
      </c>
      <c r="C1013" t="s">
        <v>31</v>
      </c>
      <c r="D1013" t="s">
        <v>46</v>
      </c>
      <c r="E1013" t="s">
        <v>33</v>
      </c>
      <c r="F1013" t="s">
        <v>26</v>
      </c>
      <c r="G1013">
        <v>940</v>
      </c>
      <c r="H1013">
        <v>1615</v>
      </c>
      <c r="I1013">
        <v>5264.2741749999996</v>
      </c>
      <c r="J1013" t="b">
        <v>1</v>
      </c>
      <c r="K1013">
        <v>25</v>
      </c>
      <c r="L1013" t="b">
        <v>0</v>
      </c>
      <c r="M1013">
        <v>22264.7225</v>
      </c>
      <c r="N1013">
        <v>3013.5</v>
      </c>
      <c r="O1013">
        <v>8459</v>
      </c>
      <c r="P1013" t="s">
        <v>36</v>
      </c>
      <c r="Q1013">
        <v>0.311929649908744</v>
      </c>
      <c r="R1013" t="s">
        <v>37</v>
      </c>
      <c r="S1013">
        <v>5.6002916755319143</v>
      </c>
      <c r="T1013">
        <v>0.35624778342593688</v>
      </c>
      <c r="U1013" t="s">
        <v>34</v>
      </c>
      <c r="V1013">
        <v>0</v>
      </c>
    </row>
    <row r="1014" spans="1:22" x14ac:dyDescent="0.3">
      <c r="A1014" s="1">
        <v>45114</v>
      </c>
      <c r="B1014" t="s">
        <v>30</v>
      </c>
      <c r="C1014" t="s">
        <v>23</v>
      </c>
      <c r="D1014" t="s">
        <v>46</v>
      </c>
      <c r="E1014" t="s">
        <v>25</v>
      </c>
      <c r="F1014" t="s">
        <v>26</v>
      </c>
      <c r="G1014">
        <v>425</v>
      </c>
      <c r="H1014">
        <v>4412</v>
      </c>
      <c r="I1014">
        <v>5477.8640530000002</v>
      </c>
      <c r="J1014" t="b">
        <v>1</v>
      </c>
      <c r="K1014">
        <v>17</v>
      </c>
      <c r="L1014" t="b">
        <v>0</v>
      </c>
      <c r="M1014">
        <v>50056.337220000001</v>
      </c>
      <c r="N1014">
        <v>3799</v>
      </c>
      <c r="O1014">
        <v>8386</v>
      </c>
      <c r="P1014" t="s">
        <v>27</v>
      </c>
      <c r="Q1014">
        <v>0.1118715451434588</v>
      </c>
      <c r="R1014" t="s">
        <v>37</v>
      </c>
      <c r="S1014">
        <v>12.889091889411766</v>
      </c>
      <c r="T1014">
        <v>0.45301693298354401</v>
      </c>
      <c r="U1014" t="s">
        <v>29</v>
      </c>
      <c r="V1014">
        <v>0</v>
      </c>
    </row>
    <row r="1015" spans="1:22" x14ac:dyDescent="0.3">
      <c r="A1015" s="1">
        <v>45113</v>
      </c>
      <c r="B1015" t="s">
        <v>38</v>
      </c>
      <c r="C1015" t="s">
        <v>41</v>
      </c>
      <c r="D1015" t="s">
        <v>46</v>
      </c>
      <c r="E1015" t="s">
        <v>45</v>
      </c>
      <c r="F1015" t="s">
        <v>26</v>
      </c>
      <c r="G1015">
        <v>673</v>
      </c>
      <c r="H1015">
        <v>3186</v>
      </c>
      <c r="I1015">
        <v>7936.1127550000001</v>
      </c>
      <c r="J1015" t="b">
        <v>1</v>
      </c>
      <c r="K1015">
        <v>29</v>
      </c>
      <c r="L1015" t="b">
        <v>0</v>
      </c>
      <c r="M1015">
        <v>50363.584719999999</v>
      </c>
      <c r="N1015">
        <v>2828.5</v>
      </c>
      <c r="O1015">
        <v>5794</v>
      </c>
      <c r="P1015" t="s">
        <v>27</v>
      </c>
      <c r="Q1015">
        <v>0.2379353013964999</v>
      </c>
      <c r="R1015" t="s">
        <v>37</v>
      </c>
      <c r="S1015">
        <v>11.792143766716196</v>
      </c>
      <c r="T1015">
        <v>0.48817742492233346</v>
      </c>
      <c r="U1015" t="s">
        <v>29</v>
      </c>
      <c r="V1015">
        <v>0</v>
      </c>
    </row>
    <row r="1016" spans="1:22" x14ac:dyDescent="0.3">
      <c r="A1016" s="1">
        <v>45112</v>
      </c>
      <c r="B1016" t="s">
        <v>22</v>
      </c>
      <c r="C1016" t="s">
        <v>23</v>
      </c>
      <c r="D1016" t="s">
        <v>46</v>
      </c>
      <c r="E1016" t="s">
        <v>33</v>
      </c>
      <c r="F1016" t="s">
        <v>26</v>
      </c>
      <c r="G1016">
        <v>55</v>
      </c>
      <c r="H1016">
        <v>2471</v>
      </c>
      <c r="I1016">
        <v>1622.467504</v>
      </c>
      <c r="J1016" t="b">
        <v>1</v>
      </c>
      <c r="K1016">
        <v>7</v>
      </c>
      <c r="L1016" t="b">
        <v>0</v>
      </c>
      <c r="M1016">
        <v>10086.05126</v>
      </c>
      <c r="N1016">
        <v>3001.5</v>
      </c>
      <c r="O1016">
        <v>5346</v>
      </c>
      <c r="P1016" t="s">
        <v>36</v>
      </c>
      <c r="Q1016">
        <v>1.8324171247709478E-2</v>
      </c>
      <c r="R1016" t="s">
        <v>40</v>
      </c>
      <c r="S1016">
        <v>29.499409163636361</v>
      </c>
      <c r="T1016">
        <v>0.56144781144781142</v>
      </c>
      <c r="U1016" t="s">
        <v>29</v>
      </c>
      <c r="V1016">
        <v>0</v>
      </c>
    </row>
    <row r="1017" spans="1:22" x14ac:dyDescent="0.3">
      <c r="A1017" s="1">
        <v>45111</v>
      </c>
      <c r="B1017" t="s">
        <v>22</v>
      </c>
      <c r="C1017" t="s">
        <v>41</v>
      </c>
      <c r="D1017" t="s">
        <v>35</v>
      </c>
      <c r="E1017" t="s">
        <v>25</v>
      </c>
      <c r="F1017" t="s">
        <v>26</v>
      </c>
      <c r="G1017">
        <v>261</v>
      </c>
      <c r="H1017">
        <v>3532</v>
      </c>
      <c r="I1017">
        <v>9486.3438900000001</v>
      </c>
      <c r="J1017" t="b">
        <v>0</v>
      </c>
      <c r="K1017">
        <v>11</v>
      </c>
      <c r="L1017" t="b">
        <v>0</v>
      </c>
      <c r="M1017">
        <v>22467.900600000001</v>
      </c>
      <c r="N1017">
        <v>2947.5</v>
      </c>
      <c r="O1017">
        <v>6405</v>
      </c>
      <c r="P1017" t="s">
        <v>27</v>
      </c>
      <c r="Q1017">
        <v>8.8549618320610687E-2</v>
      </c>
      <c r="R1017" t="s">
        <v>28</v>
      </c>
      <c r="S1017">
        <v>36.346145172413792</v>
      </c>
      <c r="T1017">
        <v>0.46018735362997659</v>
      </c>
      <c r="U1017" t="s">
        <v>29</v>
      </c>
      <c r="V1017">
        <v>0</v>
      </c>
    </row>
    <row r="1018" spans="1:22" x14ac:dyDescent="0.3">
      <c r="A1018" s="1">
        <v>45110</v>
      </c>
      <c r="B1018" t="s">
        <v>30</v>
      </c>
      <c r="C1018" t="s">
        <v>23</v>
      </c>
      <c r="D1018" t="s">
        <v>46</v>
      </c>
      <c r="E1018" t="s">
        <v>45</v>
      </c>
      <c r="F1018" t="s">
        <v>26</v>
      </c>
      <c r="G1018">
        <v>251</v>
      </c>
      <c r="H1018">
        <v>2363</v>
      </c>
      <c r="I1018">
        <v>11508.96521</v>
      </c>
      <c r="J1018" t="b">
        <v>1</v>
      </c>
      <c r="K1018">
        <v>26</v>
      </c>
      <c r="L1018" t="b">
        <v>1</v>
      </c>
      <c r="M1018">
        <v>47843.271139999997</v>
      </c>
      <c r="N1018">
        <v>3471</v>
      </c>
      <c r="O1018">
        <v>5846</v>
      </c>
      <c r="P1018" t="s">
        <v>36</v>
      </c>
      <c r="Q1018">
        <v>7.2313454335926244E-2</v>
      </c>
      <c r="R1018" t="s">
        <v>37</v>
      </c>
      <c r="S1018">
        <v>45.852451035856575</v>
      </c>
      <c r="T1018">
        <v>0.59373930892918236</v>
      </c>
      <c r="U1018" t="s">
        <v>29</v>
      </c>
      <c r="V1018">
        <v>1</v>
      </c>
    </row>
    <row r="1019" spans="1:22" x14ac:dyDescent="0.3">
      <c r="A1019" s="1">
        <v>45109</v>
      </c>
      <c r="B1019" t="s">
        <v>38</v>
      </c>
      <c r="C1019" t="s">
        <v>31</v>
      </c>
      <c r="D1019" t="s">
        <v>46</v>
      </c>
      <c r="E1019" t="s">
        <v>45</v>
      </c>
      <c r="F1019" t="s">
        <v>39</v>
      </c>
      <c r="G1019">
        <v>790</v>
      </c>
      <c r="H1019">
        <v>4579</v>
      </c>
      <c r="I1019">
        <v>4934.2959140000003</v>
      </c>
      <c r="J1019" t="b">
        <v>1</v>
      </c>
      <c r="K1019">
        <v>27</v>
      </c>
      <c r="L1019" t="b">
        <v>1</v>
      </c>
      <c r="M1019">
        <v>53335.233460000003</v>
      </c>
      <c r="N1019">
        <v>4459</v>
      </c>
      <c r="O1019">
        <v>6384</v>
      </c>
      <c r="P1019" t="s">
        <v>27</v>
      </c>
      <c r="Q1019">
        <v>0.17716976900650369</v>
      </c>
      <c r="R1019" t="s">
        <v>37</v>
      </c>
      <c r="S1019">
        <v>6.2459441949367092</v>
      </c>
      <c r="T1019">
        <v>0.69846491228070173</v>
      </c>
      <c r="U1019" t="s">
        <v>29</v>
      </c>
      <c r="V1019">
        <v>1</v>
      </c>
    </row>
    <row r="1020" spans="1:22" x14ac:dyDescent="0.3">
      <c r="A1020" s="1">
        <v>45108</v>
      </c>
      <c r="B1020" t="s">
        <v>30</v>
      </c>
      <c r="C1020" t="s">
        <v>23</v>
      </c>
      <c r="D1020" t="s">
        <v>35</v>
      </c>
      <c r="E1020" t="s">
        <v>25</v>
      </c>
      <c r="F1020" t="s">
        <v>43</v>
      </c>
      <c r="G1020">
        <v>506</v>
      </c>
      <c r="H1020">
        <v>4339</v>
      </c>
      <c r="I1020">
        <v>10561.01585</v>
      </c>
      <c r="J1020" t="b">
        <v>1</v>
      </c>
      <c r="K1020">
        <v>3</v>
      </c>
      <c r="L1020" t="b">
        <v>0</v>
      </c>
      <c r="M1020">
        <v>23767.257259999998</v>
      </c>
      <c r="N1020">
        <v>3914</v>
      </c>
      <c r="O1020">
        <v>8882</v>
      </c>
      <c r="P1020" t="s">
        <v>27</v>
      </c>
      <c r="Q1020">
        <v>0.12927950945324476</v>
      </c>
      <c r="R1020" t="s">
        <v>40</v>
      </c>
      <c r="S1020">
        <v>20.871572826086958</v>
      </c>
      <c r="T1020">
        <v>0.44066651655032651</v>
      </c>
      <c r="U1020" t="s">
        <v>29</v>
      </c>
      <c r="V1020">
        <v>0</v>
      </c>
    </row>
    <row r="1021" spans="1:22" x14ac:dyDescent="0.3">
      <c r="A1021" s="1">
        <v>45107</v>
      </c>
      <c r="B1021" t="s">
        <v>22</v>
      </c>
      <c r="C1021" t="s">
        <v>44</v>
      </c>
      <c r="D1021" t="s">
        <v>46</v>
      </c>
      <c r="E1021" t="s">
        <v>25</v>
      </c>
      <c r="F1021" t="s">
        <v>39</v>
      </c>
      <c r="G1021">
        <v>657</v>
      </c>
      <c r="H1021">
        <v>3489</v>
      </c>
      <c r="I1021">
        <v>4615.0701740000004</v>
      </c>
      <c r="J1021" t="b">
        <v>1</v>
      </c>
      <c r="K1021">
        <v>21</v>
      </c>
      <c r="L1021" t="b">
        <v>0</v>
      </c>
      <c r="M1021">
        <v>68904.335370000001</v>
      </c>
      <c r="N1021">
        <v>2489.5</v>
      </c>
      <c r="O1021">
        <v>6515</v>
      </c>
      <c r="P1021" t="s">
        <v>27</v>
      </c>
      <c r="Q1021">
        <v>0.2639084153444467</v>
      </c>
      <c r="R1021" t="s">
        <v>37</v>
      </c>
      <c r="S1021">
        <v>7.0244599299847801</v>
      </c>
      <c r="T1021">
        <v>0.38211818879508824</v>
      </c>
      <c r="U1021" t="s">
        <v>34</v>
      </c>
      <c r="V1021">
        <v>0</v>
      </c>
    </row>
    <row r="1022" spans="1:22" x14ac:dyDescent="0.3">
      <c r="A1022" s="1">
        <v>45106</v>
      </c>
      <c r="B1022" t="s">
        <v>30</v>
      </c>
      <c r="C1022" t="s">
        <v>44</v>
      </c>
      <c r="D1022" t="s">
        <v>46</v>
      </c>
      <c r="E1022" t="s">
        <v>25</v>
      </c>
      <c r="F1022" t="s">
        <v>39</v>
      </c>
      <c r="G1022">
        <v>939</v>
      </c>
      <c r="H1022">
        <v>1490</v>
      </c>
      <c r="I1022">
        <v>10496.54844</v>
      </c>
      <c r="J1022" t="b">
        <v>1</v>
      </c>
      <c r="K1022">
        <v>19</v>
      </c>
      <c r="L1022" t="b">
        <v>0</v>
      </c>
      <c r="M1022">
        <v>146260.1783</v>
      </c>
      <c r="N1022">
        <v>1241.5</v>
      </c>
      <c r="O1022">
        <v>6039</v>
      </c>
      <c r="P1022" t="s">
        <v>27</v>
      </c>
      <c r="Q1022">
        <v>0.75634313330648406</v>
      </c>
      <c r="R1022" t="s">
        <v>37</v>
      </c>
      <c r="S1022">
        <v>11.17843284345048</v>
      </c>
      <c r="T1022">
        <v>0.20558039410498427</v>
      </c>
      <c r="U1022" t="s">
        <v>34</v>
      </c>
      <c r="V1022">
        <v>0</v>
      </c>
    </row>
    <row r="1023" spans="1:22" x14ac:dyDescent="0.3">
      <c r="A1023" s="1">
        <v>45105</v>
      </c>
      <c r="B1023" t="s">
        <v>22</v>
      </c>
      <c r="C1023" t="s">
        <v>44</v>
      </c>
      <c r="D1023" t="s">
        <v>32</v>
      </c>
      <c r="E1023" t="s">
        <v>33</v>
      </c>
      <c r="F1023" t="s">
        <v>26</v>
      </c>
      <c r="G1023">
        <v>473</v>
      </c>
      <c r="H1023">
        <v>993</v>
      </c>
      <c r="I1023">
        <v>13450.14925</v>
      </c>
      <c r="J1023" t="b">
        <v>1</v>
      </c>
      <c r="K1023">
        <v>27</v>
      </c>
      <c r="L1023" t="b">
        <v>0</v>
      </c>
      <c r="M1023">
        <v>20325.838080000001</v>
      </c>
      <c r="N1023">
        <v>1291.5</v>
      </c>
      <c r="O1023">
        <v>6053</v>
      </c>
      <c r="P1023" t="s">
        <v>36</v>
      </c>
      <c r="Q1023">
        <v>0.36624080526519553</v>
      </c>
      <c r="R1023" t="s">
        <v>37</v>
      </c>
      <c r="S1023">
        <v>28.435833509513742</v>
      </c>
      <c r="T1023">
        <v>0.21336527341813977</v>
      </c>
      <c r="U1023" t="s">
        <v>34</v>
      </c>
      <c r="V1023">
        <v>0</v>
      </c>
    </row>
    <row r="1024" spans="1:22" x14ac:dyDescent="0.3">
      <c r="A1024" s="1">
        <v>45104</v>
      </c>
      <c r="B1024" t="s">
        <v>30</v>
      </c>
      <c r="C1024" t="s">
        <v>41</v>
      </c>
      <c r="D1024" t="s">
        <v>24</v>
      </c>
      <c r="E1024" t="s">
        <v>33</v>
      </c>
      <c r="F1024" t="s">
        <v>39</v>
      </c>
      <c r="G1024">
        <v>832</v>
      </c>
      <c r="H1024">
        <v>1590</v>
      </c>
      <c r="I1024">
        <v>10460.650809999999</v>
      </c>
      <c r="J1024" t="b">
        <v>1</v>
      </c>
      <c r="K1024">
        <v>5</v>
      </c>
      <c r="L1024" t="b">
        <v>0</v>
      </c>
      <c r="M1024">
        <v>19386.35714</v>
      </c>
      <c r="N1024">
        <v>1770</v>
      </c>
      <c r="O1024">
        <v>9917</v>
      </c>
      <c r="P1024" t="s">
        <v>36</v>
      </c>
      <c r="Q1024">
        <v>0.47005649717514125</v>
      </c>
      <c r="R1024" t="s">
        <v>40</v>
      </c>
      <c r="S1024">
        <v>12.572897608173076</v>
      </c>
      <c r="T1024">
        <v>0.17848139558334172</v>
      </c>
      <c r="U1024" t="s">
        <v>34</v>
      </c>
      <c r="V1024">
        <v>0</v>
      </c>
    </row>
    <row r="1025" spans="1:22" x14ac:dyDescent="0.3">
      <c r="A1025" s="1">
        <v>45103</v>
      </c>
      <c r="B1025" t="s">
        <v>30</v>
      </c>
      <c r="C1025" t="s">
        <v>23</v>
      </c>
      <c r="D1025" t="s">
        <v>24</v>
      </c>
      <c r="E1025" t="s">
        <v>33</v>
      </c>
      <c r="F1025" t="s">
        <v>26</v>
      </c>
      <c r="G1025">
        <v>195</v>
      </c>
      <c r="H1025">
        <v>1950</v>
      </c>
      <c r="I1025">
        <v>10876.500400000001</v>
      </c>
      <c r="J1025" t="b">
        <v>1</v>
      </c>
      <c r="K1025">
        <v>26</v>
      </c>
      <c r="L1025" t="b">
        <v>0</v>
      </c>
      <c r="M1025">
        <v>16890.133730000001</v>
      </c>
      <c r="N1025">
        <v>1187</v>
      </c>
      <c r="O1025">
        <v>9063</v>
      </c>
      <c r="P1025" t="s">
        <v>27</v>
      </c>
      <c r="Q1025">
        <v>0.16427969671440606</v>
      </c>
      <c r="R1025" t="s">
        <v>37</v>
      </c>
      <c r="S1025">
        <v>55.776925128205136</v>
      </c>
      <c r="T1025">
        <v>0.13097208429879731</v>
      </c>
      <c r="U1025" t="s">
        <v>34</v>
      </c>
      <c r="V1025">
        <v>0</v>
      </c>
    </row>
    <row r="1026" spans="1:22" x14ac:dyDescent="0.3">
      <c r="A1026" s="1">
        <v>45102</v>
      </c>
      <c r="B1026" t="s">
        <v>38</v>
      </c>
      <c r="C1026" t="s">
        <v>41</v>
      </c>
      <c r="D1026" t="s">
        <v>46</v>
      </c>
      <c r="E1026" t="s">
        <v>25</v>
      </c>
      <c r="F1026" t="s">
        <v>43</v>
      </c>
      <c r="G1026">
        <v>667</v>
      </c>
      <c r="H1026">
        <v>424</v>
      </c>
      <c r="I1026">
        <v>12656.794749999999</v>
      </c>
      <c r="J1026" t="b">
        <v>1</v>
      </c>
      <c r="K1026">
        <v>19</v>
      </c>
      <c r="L1026" t="b">
        <v>0</v>
      </c>
      <c r="M1026">
        <v>82953.40208</v>
      </c>
      <c r="N1026">
        <v>869.5</v>
      </c>
      <c r="O1026">
        <v>8805</v>
      </c>
      <c r="P1026" t="s">
        <v>36</v>
      </c>
      <c r="Q1026">
        <v>0.76710753306497992</v>
      </c>
      <c r="R1026" t="s">
        <v>37</v>
      </c>
      <c r="S1026">
        <v>18.975704272863567</v>
      </c>
      <c r="T1026">
        <v>9.8750709823963653E-2</v>
      </c>
      <c r="U1026" t="s">
        <v>34</v>
      </c>
      <c r="V1026">
        <v>0</v>
      </c>
    </row>
    <row r="1027" spans="1:22" x14ac:dyDescent="0.3">
      <c r="A1027" s="1">
        <v>45101</v>
      </c>
      <c r="B1027" t="s">
        <v>42</v>
      </c>
      <c r="C1027" t="s">
        <v>31</v>
      </c>
      <c r="D1027" t="s">
        <v>24</v>
      </c>
      <c r="E1027" t="s">
        <v>45</v>
      </c>
      <c r="F1027" t="s">
        <v>43</v>
      </c>
      <c r="G1027">
        <v>337</v>
      </c>
      <c r="H1027">
        <v>1315</v>
      </c>
      <c r="I1027">
        <v>4275.8450769999999</v>
      </c>
      <c r="J1027" t="b">
        <v>1</v>
      </c>
      <c r="K1027">
        <v>26</v>
      </c>
      <c r="L1027" t="b">
        <v>0</v>
      </c>
      <c r="M1027">
        <v>44987.412490000002</v>
      </c>
      <c r="N1027">
        <v>2174</v>
      </c>
      <c r="O1027">
        <v>6673</v>
      </c>
      <c r="P1027" t="s">
        <v>36</v>
      </c>
      <c r="Q1027">
        <v>0.15501379944802207</v>
      </c>
      <c r="R1027" t="s">
        <v>37</v>
      </c>
      <c r="S1027">
        <v>12.687967587537091</v>
      </c>
      <c r="T1027">
        <v>0.32579049902592538</v>
      </c>
      <c r="U1027" t="s">
        <v>34</v>
      </c>
      <c r="V1027">
        <v>0</v>
      </c>
    </row>
    <row r="1028" spans="1:22" x14ac:dyDescent="0.3">
      <c r="A1028" s="1">
        <v>45100</v>
      </c>
      <c r="B1028" t="s">
        <v>42</v>
      </c>
      <c r="C1028" t="s">
        <v>44</v>
      </c>
      <c r="D1028" t="s">
        <v>24</v>
      </c>
      <c r="E1028" t="s">
        <v>33</v>
      </c>
      <c r="F1028" t="s">
        <v>39</v>
      </c>
      <c r="G1028">
        <v>55</v>
      </c>
      <c r="H1028">
        <v>3033</v>
      </c>
      <c r="I1028">
        <v>6890.7160960000001</v>
      </c>
      <c r="J1028" t="b">
        <v>1</v>
      </c>
      <c r="K1028">
        <v>29</v>
      </c>
      <c r="L1028" t="b">
        <v>0</v>
      </c>
      <c r="M1028">
        <v>10111.69054</v>
      </c>
      <c r="N1028">
        <v>3911</v>
      </c>
      <c r="O1028">
        <v>9165</v>
      </c>
      <c r="P1028" t="s">
        <v>36</v>
      </c>
      <c r="Q1028">
        <v>1.4062899514190744E-2</v>
      </c>
      <c r="R1028" t="s">
        <v>37</v>
      </c>
      <c r="S1028">
        <v>125.2857472</v>
      </c>
      <c r="T1028">
        <v>0.42673213311511182</v>
      </c>
      <c r="U1028" t="s">
        <v>29</v>
      </c>
      <c r="V1028">
        <v>0</v>
      </c>
    </row>
    <row r="1029" spans="1:22" x14ac:dyDescent="0.3">
      <c r="A1029" s="1">
        <v>45099</v>
      </c>
      <c r="B1029" t="s">
        <v>30</v>
      </c>
      <c r="C1029" t="s">
        <v>23</v>
      </c>
      <c r="D1029" t="s">
        <v>24</v>
      </c>
      <c r="E1029" t="s">
        <v>25</v>
      </c>
      <c r="F1029" t="s">
        <v>43</v>
      </c>
      <c r="G1029">
        <v>968</v>
      </c>
      <c r="H1029">
        <v>4789</v>
      </c>
      <c r="I1029">
        <v>14515.10432</v>
      </c>
      <c r="J1029" t="b">
        <v>1</v>
      </c>
      <c r="K1029">
        <v>29</v>
      </c>
      <c r="L1029" t="b">
        <v>0</v>
      </c>
      <c r="M1029">
        <v>187237.5007</v>
      </c>
      <c r="N1029">
        <v>4029.5</v>
      </c>
      <c r="O1029">
        <v>9787</v>
      </c>
      <c r="P1029" t="s">
        <v>27</v>
      </c>
      <c r="Q1029">
        <v>0.2402283161682591</v>
      </c>
      <c r="R1029" t="s">
        <v>37</v>
      </c>
      <c r="S1029">
        <v>14.994942479338844</v>
      </c>
      <c r="T1029">
        <v>0.41171962807806273</v>
      </c>
      <c r="U1029" t="s">
        <v>29</v>
      </c>
      <c r="V1029">
        <v>0</v>
      </c>
    </row>
    <row r="1030" spans="1:22" x14ac:dyDescent="0.3">
      <c r="A1030" s="1">
        <v>45098</v>
      </c>
      <c r="B1030" t="s">
        <v>22</v>
      </c>
      <c r="C1030" t="s">
        <v>31</v>
      </c>
      <c r="D1030" t="s">
        <v>24</v>
      </c>
      <c r="E1030" t="s">
        <v>33</v>
      </c>
      <c r="F1030" t="s">
        <v>26</v>
      </c>
      <c r="G1030">
        <v>142</v>
      </c>
      <c r="H1030">
        <v>3270</v>
      </c>
      <c r="I1030">
        <v>14924.23684</v>
      </c>
      <c r="J1030" t="b">
        <v>1</v>
      </c>
      <c r="K1030">
        <v>23</v>
      </c>
      <c r="L1030" t="b">
        <v>0</v>
      </c>
      <c r="M1030">
        <v>11620.66799</v>
      </c>
      <c r="N1030">
        <v>3057.5</v>
      </c>
      <c r="O1030">
        <v>7159</v>
      </c>
      <c r="P1030" t="s">
        <v>27</v>
      </c>
      <c r="Q1030">
        <v>4.6443172526573998E-2</v>
      </c>
      <c r="R1030" t="s">
        <v>37</v>
      </c>
      <c r="S1030">
        <v>105.10025943661971</v>
      </c>
      <c r="T1030">
        <v>0.42708478837826513</v>
      </c>
      <c r="U1030" t="s">
        <v>29</v>
      </c>
      <c r="V1030">
        <v>0</v>
      </c>
    </row>
    <row r="1031" spans="1:22" x14ac:dyDescent="0.3">
      <c r="A1031" s="1">
        <v>45097</v>
      </c>
      <c r="B1031" t="s">
        <v>42</v>
      </c>
      <c r="C1031" t="s">
        <v>31</v>
      </c>
      <c r="D1031" t="s">
        <v>46</v>
      </c>
      <c r="E1031" t="s">
        <v>25</v>
      </c>
      <c r="F1031" t="s">
        <v>26</v>
      </c>
      <c r="G1031">
        <v>53</v>
      </c>
      <c r="H1031">
        <v>2845</v>
      </c>
      <c r="I1031">
        <v>4618.8466410000001</v>
      </c>
      <c r="J1031" t="b">
        <v>1</v>
      </c>
      <c r="K1031">
        <v>5</v>
      </c>
      <c r="L1031" t="b">
        <v>0</v>
      </c>
      <c r="M1031">
        <v>9931.6482090000009</v>
      </c>
      <c r="N1031">
        <v>3361.5</v>
      </c>
      <c r="O1031">
        <v>7256</v>
      </c>
      <c r="P1031" t="s">
        <v>36</v>
      </c>
      <c r="Q1031">
        <v>1.5766770786851108E-2</v>
      </c>
      <c r="R1031" t="s">
        <v>40</v>
      </c>
      <c r="S1031">
        <v>87.148049830188683</v>
      </c>
      <c r="T1031">
        <v>0.46327177508269018</v>
      </c>
      <c r="U1031" t="s">
        <v>29</v>
      </c>
      <c r="V1031">
        <v>0</v>
      </c>
    </row>
    <row r="1032" spans="1:22" x14ac:dyDescent="0.3">
      <c r="A1032" s="1">
        <v>45096</v>
      </c>
      <c r="B1032" t="s">
        <v>38</v>
      </c>
      <c r="C1032" t="s">
        <v>44</v>
      </c>
      <c r="D1032" t="s">
        <v>24</v>
      </c>
      <c r="E1032" t="s">
        <v>33</v>
      </c>
      <c r="F1032" t="s">
        <v>26</v>
      </c>
      <c r="G1032">
        <v>669</v>
      </c>
      <c r="H1032">
        <v>3878</v>
      </c>
      <c r="I1032">
        <v>8349.7582569999995</v>
      </c>
      <c r="J1032" t="b">
        <v>1</v>
      </c>
      <c r="K1032">
        <v>12</v>
      </c>
      <c r="L1032" t="b">
        <v>0</v>
      </c>
      <c r="M1032">
        <v>62903.01382</v>
      </c>
      <c r="N1032">
        <v>2791.5</v>
      </c>
      <c r="O1032">
        <v>9771</v>
      </c>
      <c r="P1032" t="s">
        <v>27</v>
      </c>
      <c r="Q1032">
        <v>0.23965609887157444</v>
      </c>
      <c r="R1032" t="s">
        <v>28</v>
      </c>
      <c r="S1032">
        <v>12.480954046337818</v>
      </c>
      <c r="T1032">
        <v>0.28569235492784772</v>
      </c>
      <c r="U1032" t="s">
        <v>34</v>
      </c>
      <c r="V1032">
        <v>0</v>
      </c>
    </row>
    <row r="1033" spans="1:22" x14ac:dyDescent="0.3">
      <c r="A1033" s="1">
        <v>45095</v>
      </c>
      <c r="B1033" t="s">
        <v>30</v>
      </c>
      <c r="C1033" t="s">
        <v>41</v>
      </c>
      <c r="D1033" t="s">
        <v>32</v>
      </c>
      <c r="E1033" t="s">
        <v>45</v>
      </c>
      <c r="F1033" t="s">
        <v>26</v>
      </c>
      <c r="G1033">
        <v>543</v>
      </c>
      <c r="H1033">
        <v>1705</v>
      </c>
      <c r="I1033">
        <v>14975.62197</v>
      </c>
      <c r="J1033" t="b">
        <v>1</v>
      </c>
      <c r="K1033">
        <v>29</v>
      </c>
      <c r="L1033" t="b">
        <v>0</v>
      </c>
      <c r="M1033">
        <v>57146.682789999999</v>
      </c>
      <c r="N1033">
        <v>2625.5</v>
      </c>
      <c r="O1033">
        <v>6117</v>
      </c>
      <c r="P1033" t="s">
        <v>36</v>
      </c>
      <c r="Q1033">
        <v>0.20681774900019043</v>
      </c>
      <c r="R1033" t="s">
        <v>37</v>
      </c>
      <c r="S1033">
        <v>27.579414309392266</v>
      </c>
      <c r="T1033">
        <v>0.4292136668301455</v>
      </c>
      <c r="U1033" t="s">
        <v>29</v>
      </c>
      <c r="V1033">
        <v>0</v>
      </c>
    </row>
    <row r="1034" spans="1:22" x14ac:dyDescent="0.3">
      <c r="A1034" s="1">
        <v>45094</v>
      </c>
      <c r="B1034" t="s">
        <v>30</v>
      </c>
      <c r="C1034" t="s">
        <v>44</v>
      </c>
      <c r="D1034" t="s">
        <v>46</v>
      </c>
      <c r="E1034" t="s">
        <v>33</v>
      </c>
      <c r="F1034" t="s">
        <v>26</v>
      </c>
      <c r="G1034">
        <v>683</v>
      </c>
      <c r="H1034">
        <v>3546</v>
      </c>
      <c r="I1034">
        <v>3441.3719620000002</v>
      </c>
      <c r="J1034" t="b">
        <v>1</v>
      </c>
      <c r="K1034">
        <v>4</v>
      </c>
      <c r="L1034" t="b">
        <v>0</v>
      </c>
      <c r="M1034">
        <v>64595.063920000001</v>
      </c>
      <c r="N1034">
        <v>2387.5</v>
      </c>
      <c r="O1034">
        <v>5193</v>
      </c>
      <c r="P1034" t="s">
        <v>27</v>
      </c>
      <c r="Q1034">
        <v>0.28607329842931939</v>
      </c>
      <c r="R1034" t="s">
        <v>40</v>
      </c>
      <c r="S1034">
        <v>5.0386119502196198</v>
      </c>
      <c r="T1034">
        <v>0.45975351434623529</v>
      </c>
      <c r="U1034" t="s">
        <v>29</v>
      </c>
      <c r="V1034">
        <v>0</v>
      </c>
    </row>
    <row r="1035" spans="1:22" x14ac:dyDescent="0.3">
      <c r="A1035" s="1">
        <v>45093</v>
      </c>
      <c r="B1035" t="s">
        <v>42</v>
      </c>
      <c r="C1035" t="s">
        <v>31</v>
      </c>
      <c r="D1035" t="s">
        <v>32</v>
      </c>
      <c r="E1035" t="s">
        <v>33</v>
      </c>
      <c r="F1035" t="s">
        <v>26</v>
      </c>
      <c r="G1035">
        <v>951</v>
      </c>
      <c r="H1035">
        <v>1229</v>
      </c>
      <c r="I1035">
        <v>2087.6191020000001</v>
      </c>
      <c r="J1035" t="b">
        <v>1</v>
      </c>
      <c r="K1035">
        <v>7</v>
      </c>
      <c r="L1035" t="b">
        <v>0</v>
      </c>
      <c r="M1035">
        <v>146160.64629999999</v>
      </c>
      <c r="N1035">
        <v>1030</v>
      </c>
      <c r="O1035">
        <v>7165</v>
      </c>
      <c r="P1035" t="s">
        <v>27</v>
      </c>
      <c r="Q1035">
        <v>0.92330097087378638</v>
      </c>
      <c r="R1035" t="s">
        <v>40</v>
      </c>
      <c r="S1035">
        <v>2.1951830725552051</v>
      </c>
      <c r="T1035">
        <v>0.14375436147941381</v>
      </c>
      <c r="U1035" t="s">
        <v>34</v>
      </c>
      <c r="V1035">
        <v>0</v>
      </c>
    </row>
    <row r="1036" spans="1:22" x14ac:dyDescent="0.3">
      <c r="A1036" s="1">
        <v>45092</v>
      </c>
      <c r="B1036" t="s">
        <v>22</v>
      </c>
      <c r="C1036" t="s">
        <v>44</v>
      </c>
      <c r="D1036" t="s">
        <v>32</v>
      </c>
      <c r="E1036" t="s">
        <v>25</v>
      </c>
      <c r="F1036" t="s">
        <v>26</v>
      </c>
      <c r="G1036">
        <v>399</v>
      </c>
      <c r="H1036">
        <v>831</v>
      </c>
      <c r="I1036">
        <v>8118.9543320000002</v>
      </c>
      <c r="J1036" t="b">
        <v>1</v>
      </c>
      <c r="K1036">
        <v>20</v>
      </c>
      <c r="L1036" t="b">
        <v>0</v>
      </c>
      <c r="M1036">
        <v>69903.896399999998</v>
      </c>
      <c r="N1036">
        <v>1924.5</v>
      </c>
      <c r="O1036">
        <v>6489</v>
      </c>
      <c r="P1036" t="s">
        <v>36</v>
      </c>
      <c r="Q1036">
        <v>0.2073265783320343</v>
      </c>
      <c r="R1036" t="s">
        <v>37</v>
      </c>
      <c r="S1036">
        <v>20.348256471177944</v>
      </c>
      <c r="T1036">
        <v>0.2965788257050393</v>
      </c>
      <c r="U1036" t="s">
        <v>34</v>
      </c>
      <c r="V1036">
        <v>0</v>
      </c>
    </row>
    <row r="1037" spans="1:22" x14ac:dyDescent="0.3">
      <c r="A1037" s="1">
        <v>45091</v>
      </c>
      <c r="B1037" t="s">
        <v>38</v>
      </c>
      <c r="C1037" t="s">
        <v>23</v>
      </c>
      <c r="D1037" t="s">
        <v>46</v>
      </c>
      <c r="E1037" t="s">
        <v>45</v>
      </c>
      <c r="F1037" t="s">
        <v>26</v>
      </c>
      <c r="G1037">
        <v>502</v>
      </c>
      <c r="H1037">
        <v>3018</v>
      </c>
      <c r="I1037">
        <v>2310.6161149999998</v>
      </c>
      <c r="J1037" t="b">
        <v>1</v>
      </c>
      <c r="K1037">
        <v>24</v>
      </c>
      <c r="L1037" t="b">
        <v>0</v>
      </c>
      <c r="M1037">
        <v>29941.23676</v>
      </c>
      <c r="N1037">
        <v>3101</v>
      </c>
      <c r="O1037">
        <v>9748</v>
      </c>
      <c r="P1037" t="s">
        <v>36</v>
      </c>
      <c r="Q1037">
        <v>0.1618832634633989</v>
      </c>
      <c r="R1037" t="s">
        <v>37</v>
      </c>
      <c r="S1037">
        <v>4.6028209462151395</v>
      </c>
      <c r="T1037">
        <v>0.31811653672548212</v>
      </c>
      <c r="U1037" t="s">
        <v>34</v>
      </c>
      <c r="V1037">
        <v>0</v>
      </c>
    </row>
    <row r="1038" spans="1:22" x14ac:dyDescent="0.3">
      <c r="A1038" s="1">
        <v>45090</v>
      </c>
      <c r="B1038" t="s">
        <v>42</v>
      </c>
      <c r="C1038" t="s">
        <v>44</v>
      </c>
      <c r="D1038" t="s">
        <v>24</v>
      </c>
      <c r="E1038" t="s">
        <v>33</v>
      </c>
      <c r="F1038" t="s">
        <v>43</v>
      </c>
      <c r="G1038">
        <v>712</v>
      </c>
      <c r="H1038">
        <v>3184</v>
      </c>
      <c r="I1038">
        <v>6250.5633289999996</v>
      </c>
      <c r="J1038" t="b">
        <v>1</v>
      </c>
      <c r="K1038">
        <v>29</v>
      </c>
      <c r="L1038" t="b">
        <v>1</v>
      </c>
      <c r="M1038">
        <v>87711.140429999999</v>
      </c>
      <c r="N1038">
        <v>3936</v>
      </c>
      <c r="O1038">
        <v>9580</v>
      </c>
      <c r="P1038" t="s">
        <v>36</v>
      </c>
      <c r="Q1038">
        <v>0.18089430894308944</v>
      </c>
      <c r="R1038" t="s">
        <v>37</v>
      </c>
      <c r="S1038">
        <v>8.7788810800561787</v>
      </c>
      <c r="T1038">
        <v>0.41085594989561586</v>
      </c>
      <c r="U1038" t="s">
        <v>29</v>
      </c>
      <c r="V1038">
        <v>1</v>
      </c>
    </row>
    <row r="1039" spans="1:22" x14ac:dyDescent="0.3">
      <c r="A1039" s="1">
        <v>45089</v>
      </c>
      <c r="B1039" t="s">
        <v>42</v>
      </c>
      <c r="C1039" t="s">
        <v>41</v>
      </c>
      <c r="D1039" t="s">
        <v>32</v>
      </c>
      <c r="E1039" t="s">
        <v>25</v>
      </c>
      <c r="F1039" t="s">
        <v>26</v>
      </c>
      <c r="G1039">
        <v>222</v>
      </c>
      <c r="H1039">
        <v>4688</v>
      </c>
      <c r="I1039">
        <v>14243.042960000001</v>
      </c>
      <c r="J1039" t="b">
        <v>1</v>
      </c>
      <c r="K1039">
        <v>4</v>
      </c>
      <c r="L1039" t="b">
        <v>0</v>
      </c>
      <c r="M1039">
        <v>43158.158029999999</v>
      </c>
      <c r="N1039">
        <v>4546</v>
      </c>
      <c r="O1039">
        <v>8741</v>
      </c>
      <c r="P1039" t="s">
        <v>27</v>
      </c>
      <c r="Q1039">
        <v>4.8834139903211615E-2</v>
      </c>
      <c r="R1039" t="s">
        <v>40</v>
      </c>
      <c r="S1039">
        <v>64.157851171171174</v>
      </c>
      <c r="T1039">
        <v>0.52007779430271139</v>
      </c>
      <c r="U1039" t="s">
        <v>29</v>
      </c>
      <c r="V1039">
        <v>0</v>
      </c>
    </row>
    <row r="1040" spans="1:22" x14ac:dyDescent="0.3">
      <c r="A1040" s="1">
        <v>45088</v>
      </c>
      <c r="B1040" t="s">
        <v>22</v>
      </c>
      <c r="C1040" t="s">
        <v>44</v>
      </c>
      <c r="D1040" t="s">
        <v>32</v>
      </c>
      <c r="E1040" t="s">
        <v>45</v>
      </c>
      <c r="F1040" t="s">
        <v>26</v>
      </c>
      <c r="G1040">
        <v>431</v>
      </c>
      <c r="H1040">
        <v>4404</v>
      </c>
      <c r="I1040">
        <v>6316.6455580000002</v>
      </c>
      <c r="J1040" t="b">
        <v>1</v>
      </c>
      <c r="K1040">
        <v>7</v>
      </c>
      <c r="L1040" t="b">
        <v>1</v>
      </c>
      <c r="M1040">
        <v>70223.223360000004</v>
      </c>
      <c r="N1040">
        <v>3649.5</v>
      </c>
      <c r="O1040">
        <v>8500</v>
      </c>
      <c r="P1040" t="s">
        <v>27</v>
      </c>
      <c r="Q1040">
        <v>0.11809836963967667</v>
      </c>
      <c r="R1040" t="s">
        <v>40</v>
      </c>
      <c r="S1040">
        <v>14.655790157772623</v>
      </c>
      <c r="T1040">
        <v>0.4293529411764706</v>
      </c>
      <c r="U1040" t="s">
        <v>29</v>
      </c>
      <c r="V1040">
        <v>1</v>
      </c>
    </row>
    <row r="1041" spans="1:22" x14ac:dyDescent="0.3">
      <c r="A1041" s="1">
        <v>45087</v>
      </c>
      <c r="B1041" t="s">
        <v>30</v>
      </c>
      <c r="C1041" t="s">
        <v>44</v>
      </c>
      <c r="D1041" t="s">
        <v>46</v>
      </c>
      <c r="E1041" t="s">
        <v>33</v>
      </c>
      <c r="F1041" t="s">
        <v>26</v>
      </c>
      <c r="G1041">
        <v>220</v>
      </c>
      <c r="H1041">
        <v>2895</v>
      </c>
      <c r="I1041">
        <v>3246.9297809999998</v>
      </c>
      <c r="J1041" t="b">
        <v>0</v>
      </c>
      <c r="K1041">
        <v>26</v>
      </c>
      <c r="L1041" t="b">
        <v>0</v>
      </c>
      <c r="M1041">
        <v>34031.76208</v>
      </c>
      <c r="N1041">
        <v>1891</v>
      </c>
      <c r="O1041">
        <v>6459</v>
      </c>
      <c r="P1041" t="s">
        <v>27</v>
      </c>
      <c r="Q1041">
        <v>0.11634056054997356</v>
      </c>
      <c r="R1041" t="s">
        <v>37</v>
      </c>
      <c r="S1041">
        <v>14.758771731818181</v>
      </c>
      <c r="T1041">
        <v>0.29276977860349901</v>
      </c>
      <c r="U1041" t="s">
        <v>34</v>
      </c>
      <c r="V1041">
        <v>0</v>
      </c>
    </row>
    <row r="1042" spans="1:22" x14ac:dyDescent="0.3">
      <c r="A1042" s="1">
        <v>45086</v>
      </c>
      <c r="B1042" t="s">
        <v>42</v>
      </c>
      <c r="C1042" t="s">
        <v>31</v>
      </c>
      <c r="D1042" t="s">
        <v>46</v>
      </c>
      <c r="E1042" t="s">
        <v>45</v>
      </c>
      <c r="F1042" t="s">
        <v>26</v>
      </c>
      <c r="G1042">
        <v>659</v>
      </c>
      <c r="H1042">
        <v>887</v>
      </c>
      <c r="I1042">
        <v>13109.43864</v>
      </c>
      <c r="J1042" t="b">
        <v>1</v>
      </c>
      <c r="K1042">
        <v>11</v>
      </c>
      <c r="L1042" t="b">
        <v>1</v>
      </c>
      <c r="M1042">
        <v>108283.27860000001</v>
      </c>
      <c r="N1042">
        <v>892.5</v>
      </c>
      <c r="O1042">
        <v>9758</v>
      </c>
      <c r="P1042" t="s">
        <v>36</v>
      </c>
      <c r="Q1042">
        <v>0.73837535014005606</v>
      </c>
      <c r="R1042" t="s">
        <v>28</v>
      </c>
      <c r="S1042">
        <v>19.892926616084978</v>
      </c>
      <c r="T1042">
        <v>9.1463414634146339E-2</v>
      </c>
      <c r="U1042" t="s">
        <v>34</v>
      </c>
      <c r="V1042">
        <v>1</v>
      </c>
    </row>
    <row r="1043" spans="1:22" x14ac:dyDescent="0.3">
      <c r="A1043" s="1">
        <v>45085</v>
      </c>
      <c r="B1043" t="s">
        <v>22</v>
      </c>
      <c r="C1043" t="s">
        <v>23</v>
      </c>
      <c r="D1043" t="s">
        <v>32</v>
      </c>
      <c r="E1043" t="s">
        <v>45</v>
      </c>
      <c r="F1043" t="s">
        <v>26</v>
      </c>
      <c r="G1043">
        <v>621</v>
      </c>
      <c r="H1043">
        <v>898</v>
      </c>
      <c r="I1043">
        <v>11048.059670000001</v>
      </c>
      <c r="J1043" t="b">
        <v>1</v>
      </c>
      <c r="K1043">
        <v>7</v>
      </c>
      <c r="L1043" t="b">
        <v>0</v>
      </c>
      <c r="M1043">
        <v>123141.65640000001</v>
      </c>
      <c r="N1043">
        <v>866</v>
      </c>
      <c r="O1043">
        <v>8876</v>
      </c>
      <c r="P1043" t="s">
        <v>27</v>
      </c>
      <c r="Q1043">
        <v>0.71709006928406471</v>
      </c>
      <c r="R1043" t="s">
        <v>40</v>
      </c>
      <c r="S1043">
        <v>17.790756312399356</v>
      </c>
      <c r="T1043">
        <v>9.756647138350609E-2</v>
      </c>
      <c r="U1043" t="s">
        <v>34</v>
      </c>
      <c r="V1043">
        <v>0</v>
      </c>
    </row>
    <row r="1044" spans="1:22" x14ac:dyDescent="0.3">
      <c r="A1044" s="1">
        <v>45084</v>
      </c>
      <c r="B1044" t="s">
        <v>38</v>
      </c>
      <c r="C1044" t="s">
        <v>31</v>
      </c>
      <c r="D1044" t="s">
        <v>35</v>
      </c>
      <c r="E1044" t="s">
        <v>45</v>
      </c>
      <c r="F1044" t="s">
        <v>26</v>
      </c>
      <c r="G1044">
        <v>472</v>
      </c>
      <c r="H1044">
        <v>834</v>
      </c>
      <c r="I1044">
        <v>11420.22328</v>
      </c>
      <c r="J1044" t="b">
        <v>1</v>
      </c>
      <c r="K1044">
        <v>28</v>
      </c>
      <c r="L1044" t="b">
        <v>1</v>
      </c>
      <c r="M1044">
        <v>26461.80834</v>
      </c>
      <c r="N1044">
        <v>2510</v>
      </c>
      <c r="O1044">
        <v>6205</v>
      </c>
      <c r="P1044" t="s">
        <v>36</v>
      </c>
      <c r="Q1044">
        <v>0.18804780876494023</v>
      </c>
      <c r="R1044" t="s">
        <v>37</v>
      </c>
      <c r="S1044">
        <v>24.195388305084744</v>
      </c>
      <c r="T1044">
        <v>0.40451248992747785</v>
      </c>
      <c r="U1044" t="s">
        <v>29</v>
      </c>
      <c r="V1044">
        <v>1</v>
      </c>
    </row>
    <row r="1045" spans="1:22" x14ac:dyDescent="0.3">
      <c r="A1045" s="1">
        <v>45083</v>
      </c>
      <c r="B1045" t="s">
        <v>30</v>
      </c>
      <c r="C1045" t="s">
        <v>23</v>
      </c>
      <c r="D1045" t="s">
        <v>32</v>
      </c>
      <c r="E1045" t="s">
        <v>45</v>
      </c>
      <c r="F1045" t="s">
        <v>39</v>
      </c>
      <c r="G1045">
        <v>782</v>
      </c>
      <c r="H1045">
        <v>4186</v>
      </c>
      <c r="I1045">
        <v>10414.928910000001</v>
      </c>
      <c r="J1045" t="b">
        <v>1</v>
      </c>
      <c r="K1045">
        <v>2</v>
      </c>
      <c r="L1045" t="b">
        <v>0</v>
      </c>
      <c r="M1045">
        <v>45969.477350000001</v>
      </c>
      <c r="N1045">
        <v>3265</v>
      </c>
      <c r="O1045">
        <v>5154</v>
      </c>
      <c r="P1045" t="s">
        <v>27</v>
      </c>
      <c r="Q1045">
        <v>0.23950995405819295</v>
      </c>
      <c r="R1045" t="s">
        <v>40</v>
      </c>
      <c r="S1045">
        <v>13.318323414322251</v>
      </c>
      <c r="T1045">
        <v>0.63348855258051995</v>
      </c>
      <c r="U1045" t="s">
        <v>29</v>
      </c>
      <c r="V1045">
        <v>0</v>
      </c>
    </row>
    <row r="1046" spans="1:22" x14ac:dyDescent="0.3">
      <c r="A1046" s="1">
        <v>45082</v>
      </c>
      <c r="B1046" t="s">
        <v>38</v>
      </c>
      <c r="C1046" t="s">
        <v>23</v>
      </c>
      <c r="D1046" t="s">
        <v>46</v>
      </c>
      <c r="E1046" t="s">
        <v>25</v>
      </c>
      <c r="F1046" t="s">
        <v>26</v>
      </c>
      <c r="G1046">
        <v>934</v>
      </c>
      <c r="H1046">
        <v>2344</v>
      </c>
      <c r="I1046">
        <v>8946.7397729999993</v>
      </c>
      <c r="J1046" t="b">
        <v>0</v>
      </c>
      <c r="K1046">
        <v>16</v>
      </c>
      <c r="L1046" t="b">
        <v>0</v>
      </c>
      <c r="M1046">
        <v>111566.8844</v>
      </c>
      <c r="N1046">
        <v>1311</v>
      </c>
      <c r="O1046">
        <v>9811</v>
      </c>
      <c r="P1046" t="s">
        <v>27</v>
      </c>
      <c r="Q1046">
        <v>0.71243325705568272</v>
      </c>
      <c r="R1046" t="s">
        <v>37</v>
      </c>
      <c r="S1046">
        <v>9.5789505064239826</v>
      </c>
      <c r="T1046">
        <v>0.13362552237284681</v>
      </c>
      <c r="U1046" t="s">
        <v>34</v>
      </c>
      <c r="V1046">
        <v>0</v>
      </c>
    </row>
    <row r="1047" spans="1:22" x14ac:dyDescent="0.3">
      <c r="A1047" s="1">
        <v>45081</v>
      </c>
      <c r="B1047" t="s">
        <v>22</v>
      </c>
      <c r="C1047" t="s">
        <v>44</v>
      </c>
      <c r="D1047" t="s">
        <v>24</v>
      </c>
      <c r="E1047" t="s">
        <v>25</v>
      </c>
      <c r="F1047" t="s">
        <v>26</v>
      </c>
      <c r="G1047">
        <v>246</v>
      </c>
      <c r="H1047">
        <v>278</v>
      </c>
      <c r="I1047">
        <v>8142.227269</v>
      </c>
      <c r="J1047" t="b">
        <v>1</v>
      </c>
      <c r="K1047">
        <v>6</v>
      </c>
      <c r="L1047" t="b">
        <v>0</v>
      </c>
      <c r="M1047">
        <v>12907.55744</v>
      </c>
      <c r="N1047">
        <v>1827.5</v>
      </c>
      <c r="O1047">
        <v>9049</v>
      </c>
      <c r="P1047" t="s">
        <v>36</v>
      </c>
      <c r="Q1047">
        <v>0.13461012311901505</v>
      </c>
      <c r="R1047" t="s">
        <v>40</v>
      </c>
      <c r="S1047">
        <v>33.09848483333333</v>
      </c>
      <c r="T1047">
        <v>0.20195601723947398</v>
      </c>
      <c r="U1047" t="s">
        <v>34</v>
      </c>
      <c r="V1047">
        <v>0</v>
      </c>
    </row>
    <row r="1048" spans="1:22" x14ac:dyDescent="0.3">
      <c r="A1048" s="1">
        <v>45080</v>
      </c>
      <c r="B1048" t="s">
        <v>30</v>
      </c>
      <c r="C1048" t="s">
        <v>44</v>
      </c>
      <c r="D1048" t="s">
        <v>32</v>
      </c>
      <c r="E1048" t="s">
        <v>33</v>
      </c>
      <c r="F1048" t="s">
        <v>26</v>
      </c>
      <c r="G1048">
        <v>931</v>
      </c>
      <c r="H1048">
        <v>3377</v>
      </c>
      <c r="I1048">
        <v>9662.2623089999997</v>
      </c>
      <c r="J1048" t="b">
        <v>1</v>
      </c>
      <c r="K1048">
        <v>3</v>
      </c>
      <c r="L1048" t="b">
        <v>0</v>
      </c>
      <c r="M1048">
        <v>65369.154860000002</v>
      </c>
      <c r="N1048">
        <v>3608.5</v>
      </c>
      <c r="O1048">
        <v>9643</v>
      </c>
      <c r="P1048" t="s">
        <v>36</v>
      </c>
      <c r="Q1048">
        <v>0.2580019398642095</v>
      </c>
      <c r="R1048" t="s">
        <v>40</v>
      </c>
      <c r="S1048">
        <v>10.378369827067669</v>
      </c>
      <c r="T1048">
        <v>0.37420927097376333</v>
      </c>
      <c r="U1048" t="s">
        <v>34</v>
      </c>
      <c r="V1048">
        <v>0</v>
      </c>
    </row>
    <row r="1049" spans="1:22" x14ac:dyDescent="0.3">
      <c r="A1049" s="1">
        <v>45079</v>
      </c>
      <c r="B1049" t="s">
        <v>22</v>
      </c>
      <c r="C1049" t="s">
        <v>31</v>
      </c>
      <c r="D1049" t="s">
        <v>24</v>
      </c>
      <c r="E1049" t="s">
        <v>25</v>
      </c>
      <c r="F1049" t="s">
        <v>26</v>
      </c>
      <c r="G1049">
        <v>707</v>
      </c>
      <c r="H1049">
        <v>3840</v>
      </c>
      <c r="I1049">
        <v>9283.4290930000006</v>
      </c>
      <c r="J1049" t="b">
        <v>1</v>
      </c>
      <c r="K1049">
        <v>6</v>
      </c>
      <c r="L1049" t="b">
        <v>0</v>
      </c>
      <c r="M1049">
        <v>61219.090250000001</v>
      </c>
      <c r="N1049">
        <v>2557</v>
      </c>
      <c r="O1049">
        <v>5521</v>
      </c>
      <c r="P1049" t="s">
        <v>27</v>
      </c>
      <c r="Q1049">
        <v>0.27649589362534222</v>
      </c>
      <c r="R1049" t="s">
        <v>40</v>
      </c>
      <c r="S1049">
        <v>13.13073421923621</v>
      </c>
      <c r="T1049">
        <v>0.46314073537402645</v>
      </c>
      <c r="U1049" t="s">
        <v>29</v>
      </c>
      <c r="V1049">
        <v>0</v>
      </c>
    </row>
    <row r="1050" spans="1:22" x14ac:dyDescent="0.3">
      <c r="A1050" s="1">
        <v>45078</v>
      </c>
      <c r="B1050" t="s">
        <v>30</v>
      </c>
      <c r="C1050" t="s">
        <v>23</v>
      </c>
      <c r="D1050" t="s">
        <v>24</v>
      </c>
      <c r="E1050" t="s">
        <v>33</v>
      </c>
      <c r="F1050" t="s">
        <v>26</v>
      </c>
      <c r="G1050">
        <v>279</v>
      </c>
      <c r="H1050">
        <v>1274</v>
      </c>
      <c r="I1050">
        <v>7953.3388629999999</v>
      </c>
      <c r="J1050" t="b">
        <v>1</v>
      </c>
      <c r="K1050">
        <v>24</v>
      </c>
      <c r="L1050" t="b">
        <v>0</v>
      </c>
      <c r="M1050">
        <v>41443.708720000002</v>
      </c>
      <c r="N1050">
        <v>1614.5</v>
      </c>
      <c r="O1050">
        <v>6565</v>
      </c>
      <c r="P1050" t="s">
        <v>36</v>
      </c>
      <c r="Q1050">
        <v>0.17280891917002167</v>
      </c>
      <c r="R1050" t="s">
        <v>37</v>
      </c>
      <c r="S1050">
        <v>28.506590906810036</v>
      </c>
      <c r="T1050">
        <v>0.24592536176694593</v>
      </c>
      <c r="U1050" t="s">
        <v>34</v>
      </c>
      <c r="V1050">
        <v>0</v>
      </c>
    </row>
    <row r="1051" spans="1:22" x14ac:dyDescent="0.3">
      <c r="A1051" s="1">
        <v>45077</v>
      </c>
      <c r="B1051" t="s">
        <v>30</v>
      </c>
      <c r="C1051" t="s">
        <v>23</v>
      </c>
      <c r="D1051" t="s">
        <v>32</v>
      </c>
      <c r="E1051" t="s">
        <v>33</v>
      </c>
      <c r="F1051" t="s">
        <v>26</v>
      </c>
      <c r="G1051">
        <v>507</v>
      </c>
      <c r="H1051">
        <v>1955</v>
      </c>
      <c r="I1051">
        <v>10950.51412</v>
      </c>
      <c r="J1051" t="b">
        <v>1</v>
      </c>
      <c r="K1051">
        <v>15</v>
      </c>
      <c r="L1051" t="b">
        <v>0</v>
      </c>
      <c r="M1051">
        <v>29963.871289999999</v>
      </c>
      <c r="N1051">
        <v>1943</v>
      </c>
      <c r="O1051">
        <v>8972</v>
      </c>
      <c r="P1051" t="s">
        <v>27</v>
      </c>
      <c r="Q1051">
        <v>0.26093669583118889</v>
      </c>
      <c r="R1051" t="s">
        <v>37</v>
      </c>
      <c r="S1051">
        <v>21.59864717948718</v>
      </c>
      <c r="T1051">
        <v>0.21656263932233616</v>
      </c>
      <c r="U1051" t="s">
        <v>34</v>
      </c>
      <c r="V1051">
        <v>0</v>
      </c>
    </row>
    <row r="1052" spans="1:22" x14ac:dyDescent="0.3">
      <c r="A1052" s="1">
        <v>45076</v>
      </c>
      <c r="B1052" t="s">
        <v>42</v>
      </c>
      <c r="C1052" t="s">
        <v>41</v>
      </c>
      <c r="D1052" t="s">
        <v>35</v>
      </c>
      <c r="E1052" t="s">
        <v>25</v>
      </c>
      <c r="F1052" t="s">
        <v>43</v>
      </c>
      <c r="G1052">
        <v>847</v>
      </c>
      <c r="H1052">
        <v>1931</v>
      </c>
      <c r="I1052">
        <v>862.26919310000005</v>
      </c>
      <c r="J1052" t="b">
        <v>1</v>
      </c>
      <c r="K1052">
        <v>15</v>
      </c>
      <c r="L1052" t="b">
        <v>0</v>
      </c>
      <c r="M1052">
        <v>163970.7861</v>
      </c>
      <c r="N1052">
        <v>1834.5</v>
      </c>
      <c r="O1052">
        <v>8472</v>
      </c>
      <c r="P1052" t="s">
        <v>27</v>
      </c>
      <c r="Q1052">
        <v>0.46170618697192695</v>
      </c>
      <c r="R1052" t="s">
        <v>37</v>
      </c>
      <c r="S1052">
        <v>1.0180273826446282</v>
      </c>
      <c r="T1052">
        <v>0.21653682719546744</v>
      </c>
      <c r="U1052" t="s">
        <v>34</v>
      </c>
      <c r="V1052">
        <v>0</v>
      </c>
    </row>
    <row r="1053" spans="1:22" x14ac:dyDescent="0.3">
      <c r="A1053" s="1">
        <v>45075</v>
      </c>
      <c r="B1053" t="s">
        <v>22</v>
      </c>
      <c r="C1053" t="s">
        <v>23</v>
      </c>
      <c r="D1053" t="s">
        <v>46</v>
      </c>
      <c r="E1053" t="s">
        <v>33</v>
      </c>
      <c r="F1053" t="s">
        <v>43</v>
      </c>
      <c r="G1053">
        <v>362</v>
      </c>
      <c r="H1053">
        <v>1738</v>
      </c>
      <c r="I1053">
        <v>9650.2162019999996</v>
      </c>
      <c r="J1053" t="b">
        <v>0</v>
      </c>
      <c r="K1053">
        <v>26</v>
      </c>
      <c r="L1053" t="b">
        <v>0</v>
      </c>
      <c r="M1053">
        <v>43903.547270000003</v>
      </c>
      <c r="N1053">
        <v>1314</v>
      </c>
      <c r="O1053">
        <v>7851</v>
      </c>
      <c r="P1053" t="s">
        <v>27</v>
      </c>
      <c r="Q1053">
        <v>0.27549467275494671</v>
      </c>
      <c r="R1053" t="s">
        <v>37</v>
      </c>
      <c r="S1053">
        <v>26.658055806629832</v>
      </c>
      <c r="T1053">
        <v>0.1673672143675965</v>
      </c>
      <c r="U1053" t="s">
        <v>34</v>
      </c>
      <c r="V1053">
        <v>0</v>
      </c>
    </row>
    <row r="1054" spans="1:22" x14ac:dyDescent="0.3">
      <c r="A1054" s="1">
        <v>45074</v>
      </c>
      <c r="B1054" t="s">
        <v>30</v>
      </c>
      <c r="C1054" t="s">
        <v>31</v>
      </c>
      <c r="D1054" t="s">
        <v>35</v>
      </c>
      <c r="E1054" t="s">
        <v>33</v>
      </c>
      <c r="F1054" t="s">
        <v>26</v>
      </c>
      <c r="G1054">
        <v>174</v>
      </c>
      <c r="H1054">
        <v>890</v>
      </c>
      <c r="I1054">
        <v>4186.757834</v>
      </c>
      <c r="J1054" t="b">
        <v>1</v>
      </c>
      <c r="K1054">
        <v>7</v>
      </c>
      <c r="L1054" t="b">
        <v>0</v>
      </c>
      <c r="M1054">
        <v>29233.643960000001</v>
      </c>
      <c r="N1054">
        <v>780.5</v>
      </c>
      <c r="O1054">
        <v>5027</v>
      </c>
      <c r="P1054" t="s">
        <v>27</v>
      </c>
      <c r="Q1054">
        <v>0.22293401665598975</v>
      </c>
      <c r="R1054" t="s">
        <v>40</v>
      </c>
      <c r="S1054">
        <v>24.061826632183909</v>
      </c>
      <c r="T1054">
        <v>0.1552615874278894</v>
      </c>
      <c r="U1054" t="s">
        <v>34</v>
      </c>
      <c r="V1054">
        <v>0</v>
      </c>
    </row>
    <row r="1055" spans="1:22" x14ac:dyDescent="0.3">
      <c r="A1055" s="1">
        <v>45073</v>
      </c>
      <c r="B1055" t="s">
        <v>30</v>
      </c>
      <c r="C1055" t="s">
        <v>31</v>
      </c>
      <c r="D1055" t="s">
        <v>32</v>
      </c>
      <c r="E1055" t="s">
        <v>33</v>
      </c>
      <c r="F1055" t="s">
        <v>26</v>
      </c>
      <c r="G1055">
        <v>152</v>
      </c>
      <c r="H1055">
        <v>671</v>
      </c>
      <c r="I1055">
        <v>5341.5858369999996</v>
      </c>
      <c r="J1055" t="b">
        <v>1</v>
      </c>
      <c r="K1055">
        <v>19</v>
      </c>
      <c r="L1055" t="b">
        <v>0</v>
      </c>
      <c r="M1055">
        <v>18760.35842</v>
      </c>
      <c r="N1055">
        <v>1276</v>
      </c>
      <c r="O1055">
        <v>9506</v>
      </c>
      <c r="P1055" t="s">
        <v>36</v>
      </c>
      <c r="Q1055">
        <v>0.11912225705329153</v>
      </c>
      <c r="R1055" t="s">
        <v>37</v>
      </c>
      <c r="S1055">
        <v>35.142012085526311</v>
      </c>
      <c r="T1055">
        <v>0.13423101199242585</v>
      </c>
      <c r="U1055" t="s">
        <v>34</v>
      </c>
      <c r="V1055">
        <v>0</v>
      </c>
    </row>
    <row r="1056" spans="1:22" x14ac:dyDescent="0.3">
      <c r="A1056" s="1">
        <v>45072</v>
      </c>
      <c r="B1056" t="s">
        <v>30</v>
      </c>
      <c r="C1056" t="s">
        <v>31</v>
      </c>
      <c r="D1056" t="s">
        <v>24</v>
      </c>
      <c r="E1056" t="s">
        <v>33</v>
      </c>
      <c r="F1056" t="s">
        <v>39</v>
      </c>
      <c r="G1056">
        <v>420</v>
      </c>
      <c r="H1056">
        <v>1881</v>
      </c>
      <c r="I1056">
        <v>10239.073350000001</v>
      </c>
      <c r="J1056" t="b">
        <v>1</v>
      </c>
      <c r="K1056">
        <v>4</v>
      </c>
      <c r="L1056" t="b">
        <v>0</v>
      </c>
      <c r="M1056">
        <v>63920.990980000002</v>
      </c>
      <c r="N1056">
        <v>2591</v>
      </c>
      <c r="O1056">
        <v>6604</v>
      </c>
      <c r="P1056" t="s">
        <v>36</v>
      </c>
      <c r="Q1056">
        <v>0.16209957545349285</v>
      </c>
      <c r="R1056" t="s">
        <v>40</v>
      </c>
      <c r="S1056">
        <v>24.378746071428573</v>
      </c>
      <c r="T1056">
        <v>0.39233797698364625</v>
      </c>
      <c r="U1056" t="s">
        <v>34</v>
      </c>
      <c r="V1056">
        <v>0</v>
      </c>
    </row>
    <row r="1057" spans="1:22" x14ac:dyDescent="0.3">
      <c r="A1057" s="1">
        <v>45071</v>
      </c>
      <c r="B1057" t="s">
        <v>42</v>
      </c>
      <c r="C1057" t="s">
        <v>31</v>
      </c>
      <c r="D1057" t="s">
        <v>46</v>
      </c>
      <c r="E1057" t="s">
        <v>33</v>
      </c>
      <c r="F1057" t="s">
        <v>26</v>
      </c>
      <c r="G1057">
        <v>925</v>
      </c>
      <c r="H1057">
        <v>3301</v>
      </c>
      <c r="I1057">
        <v>6969.1642190000002</v>
      </c>
      <c r="J1057" t="b">
        <v>0</v>
      </c>
      <c r="K1057">
        <v>2</v>
      </c>
      <c r="L1057" t="b">
        <v>0</v>
      </c>
      <c r="M1057">
        <v>148130.8806</v>
      </c>
      <c r="N1057">
        <v>1799.5</v>
      </c>
      <c r="O1057">
        <v>9773</v>
      </c>
      <c r="P1057" t="s">
        <v>27</v>
      </c>
      <c r="Q1057">
        <v>0.51403167546540707</v>
      </c>
      <c r="R1057" t="s">
        <v>40</v>
      </c>
      <c r="S1057">
        <v>7.5342315881081081</v>
      </c>
      <c r="T1057">
        <v>0.18412974521641257</v>
      </c>
      <c r="U1057" t="s">
        <v>34</v>
      </c>
      <c r="V1057">
        <v>0</v>
      </c>
    </row>
    <row r="1058" spans="1:22" x14ac:dyDescent="0.3">
      <c r="A1058" s="1">
        <v>45070</v>
      </c>
      <c r="B1058" t="s">
        <v>42</v>
      </c>
      <c r="C1058" t="s">
        <v>41</v>
      </c>
      <c r="D1058" t="s">
        <v>32</v>
      </c>
      <c r="E1058" t="s">
        <v>25</v>
      </c>
      <c r="F1058" t="s">
        <v>26</v>
      </c>
      <c r="G1058">
        <v>553</v>
      </c>
      <c r="H1058">
        <v>298</v>
      </c>
      <c r="I1058">
        <v>5602.9816760000003</v>
      </c>
      <c r="J1058" t="b">
        <v>1</v>
      </c>
      <c r="K1058">
        <v>29</v>
      </c>
      <c r="L1058" t="b">
        <v>0</v>
      </c>
      <c r="M1058">
        <v>52705.018150000004</v>
      </c>
      <c r="N1058">
        <v>235</v>
      </c>
      <c r="O1058">
        <v>9044</v>
      </c>
      <c r="P1058" t="s">
        <v>27</v>
      </c>
      <c r="Q1058">
        <v>2.3531914893617021</v>
      </c>
      <c r="R1058" t="s">
        <v>37</v>
      </c>
      <c r="S1058">
        <v>10.131974097649186</v>
      </c>
      <c r="T1058">
        <v>2.598407784166298E-2</v>
      </c>
      <c r="U1058" t="s">
        <v>34</v>
      </c>
      <c r="V1058">
        <v>0</v>
      </c>
    </row>
    <row r="1059" spans="1:22" x14ac:dyDescent="0.3">
      <c r="A1059" s="1">
        <v>45069</v>
      </c>
      <c r="B1059" t="s">
        <v>42</v>
      </c>
      <c r="C1059" t="s">
        <v>31</v>
      </c>
      <c r="D1059" t="s">
        <v>24</v>
      </c>
      <c r="E1059" t="s">
        <v>25</v>
      </c>
      <c r="F1059" t="s">
        <v>26</v>
      </c>
      <c r="G1059">
        <v>632</v>
      </c>
      <c r="H1059">
        <v>172</v>
      </c>
      <c r="I1059">
        <v>14096.091179999999</v>
      </c>
      <c r="J1059" t="b">
        <v>1</v>
      </c>
      <c r="K1059">
        <v>19</v>
      </c>
      <c r="L1059" t="b">
        <v>0</v>
      </c>
      <c r="M1059">
        <v>69099.497929999998</v>
      </c>
      <c r="N1059">
        <v>2179.5</v>
      </c>
      <c r="O1059">
        <v>6834</v>
      </c>
      <c r="P1059" t="s">
        <v>36</v>
      </c>
      <c r="Q1059">
        <v>0.28997476485432438</v>
      </c>
      <c r="R1059" t="s">
        <v>37</v>
      </c>
      <c r="S1059">
        <v>22.303941740506328</v>
      </c>
      <c r="T1059">
        <v>0.31892010535557508</v>
      </c>
      <c r="U1059" t="s">
        <v>34</v>
      </c>
      <c r="V1059">
        <v>0</v>
      </c>
    </row>
    <row r="1060" spans="1:22" x14ac:dyDescent="0.3">
      <c r="A1060" s="1">
        <v>45068</v>
      </c>
      <c r="B1060" t="s">
        <v>22</v>
      </c>
      <c r="C1060" t="s">
        <v>23</v>
      </c>
      <c r="D1060" t="s">
        <v>24</v>
      </c>
      <c r="E1060" t="s">
        <v>25</v>
      </c>
      <c r="F1060" t="s">
        <v>26</v>
      </c>
      <c r="G1060">
        <v>825</v>
      </c>
      <c r="H1060">
        <v>4187</v>
      </c>
      <c r="I1060">
        <v>2489.7936260000001</v>
      </c>
      <c r="J1060" t="b">
        <v>1</v>
      </c>
      <c r="K1060">
        <v>23</v>
      </c>
      <c r="L1060" t="b">
        <v>0</v>
      </c>
      <c r="M1060">
        <v>55351.283730000003</v>
      </c>
      <c r="N1060">
        <v>2417.5</v>
      </c>
      <c r="O1060">
        <v>8009</v>
      </c>
      <c r="P1060" t="s">
        <v>27</v>
      </c>
      <c r="Q1060">
        <v>0.34126163391933817</v>
      </c>
      <c r="R1060" t="s">
        <v>37</v>
      </c>
      <c r="S1060">
        <v>3.0179316678787882</v>
      </c>
      <c r="T1060">
        <v>0.30184792108877512</v>
      </c>
      <c r="U1060" t="s">
        <v>34</v>
      </c>
      <c r="V1060">
        <v>0</v>
      </c>
    </row>
    <row r="1061" spans="1:22" x14ac:dyDescent="0.3">
      <c r="A1061" s="1">
        <v>45067</v>
      </c>
      <c r="B1061" t="s">
        <v>42</v>
      </c>
      <c r="C1061" t="s">
        <v>31</v>
      </c>
      <c r="D1061" t="s">
        <v>24</v>
      </c>
      <c r="E1061" t="s">
        <v>33</v>
      </c>
      <c r="F1061" t="s">
        <v>26</v>
      </c>
      <c r="G1061">
        <v>606</v>
      </c>
      <c r="H1061">
        <v>648</v>
      </c>
      <c r="I1061">
        <v>8805.0277279999991</v>
      </c>
      <c r="J1061" t="b">
        <v>1</v>
      </c>
      <c r="K1061">
        <v>10</v>
      </c>
      <c r="L1061" t="b">
        <v>1</v>
      </c>
      <c r="M1061">
        <v>30866.147349999999</v>
      </c>
      <c r="N1061">
        <v>2043.5</v>
      </c>
      <c r="O1061">
        <v>7501</v>
      </c>
      <c r="P1061" t="s">
        <v>36</v>
      </c>
      <c r="Q1061">
        <v>0.29655003670173724</v>
      </c>
      <c r="R1061" t="s">
        <v>28</v>
      </c>
      <c r="S1061">
        <v>14.529748726072606</v>
      </c>
      <c r="T1061">
        <v>0.27243034262098387</v>
      </c>
      <c r="U1061" t="s">
        <v>34</v>
      </c>
      <c r="V1061">
        <v>1</v>
      </c>
    </row>
    <row r="1062" spans="1:22" x14ac:dyDescent="0.3">
      <c r="A1062" s="1">
        <v>45066</v>
      </c>
      <c r="B1062" t="s">
        <v>22</v>
      </c>
      <c r="C1062" t="s">
        <v>44</v>
      </c>
      <c r="D1062" t="s">
        <v>35</v>
      </c>
      <c r="E1062" t="s">
        <v>45</v>
      </c>
      <c r="F1062" t="s">
        <v>43</v>
      </c>
      <c r="G1062">
        <v>536</v>
      </c>
      <c r="H1062">
        <v>3439</v>
      </c>
      <c r="I1062">
        <v>7765.0834359999999</v>
      </c>
      <c r="J1062" t="b">
        <v>1</v>
      </c>
      <c r="K1062">
        <v>14</v>
      </c>
      <c r="L1062" t="b">
        <v>0</v>
      </c>
      <c r="M1062">
        <v>66657.159209999998</v>
      </c>
      <c r="N1062">
        <v>4143.5</v>
      </c>
      <c r="O1062">
        <v>6197</v>
      </c>
      <c r="P1062" t="s">
        <v>36</v>
      </c>
      <c r="Q1062">
        <v>0.12935923735972005</v>
      </c>
      <c r="R1062" t="s">
        <v>28</v>
      </c>
      <c r="S1062">
        <v>14.487095962686567</v>
      </c>
      <c r="T1062">
        <v>0.66862998224947556</v>
      </c>
      <c r="U1062" t="s">
        <v>29</v>
      </c>
      <c r="V1062">
        <v>0</v>
      </c>
    </row>
    <row r="1063" spans="1:22" x14ac:dyDescent="0.3">
      <c r="A1063" s="1">
        <v>45065</v>
      </c>
      <c r="B1063" t="s">
        <v>30</v>
      </c>
      <c r="C1063" t="s">
        <v>44</v>
      </c>
      <c r="D1063" t="s">
        <v>32</v>
      </c>
      <c r="E1063" t="s">
        <v>45</v>
      </c>
      <c r="F1063" t="s">
        <v>26</v>
      </c>
      <c r="G1063">
        <v>250</v>
      </c>
      <c r="H1063">
        <v>4848</v>
      </c>
      <c r="I1063">
        <v>11183.983609999999</v>
      </c>
      <c r="J1063" t="b">
        <v>1</v>
      </c>
      <c r="K1063">
        <v>12</v>
      </c>
      <c r="L1063" t="b">
        <v>0</v>
      </c>
      <c r="M1063">
        <v>37048.468719999997</v>
      </c>
      <c r="N1063">
        <v>4709.5</v>
      </c>
      <c r="O1063">
        <v>9611</v>
      </c>
      <c r="P1063" t="s">
        <v>27</v>
      </c>
      <c r="Q1063">
        <v>5.3084191527763031E-2</v>
      </c>
      <c r="R1063" t="s">
        <v>28</v>
      </c>
      <c r="S1063">
        <v>44.735934439999994</v>
      </c>
      <c r="T1063">
        <v>0.49001144521901985</v>
      </c>
      <c r="U1063" t="s">
        <v>29</v>
      </c>
      <c r="V1063">
        <v>0</v>
      </c>
    </row>
    <row r="1064" spans="1:22" x14ac:dyDescent="0.3">
      <c r="A1064" s="1">
        <v>45064</v>
      </c>
      <c r="B1064" t="s">
        <v>22</v>
      </c>
      <c r="C1064" t="s">
        <v>44</v>
      </c>
      <c r="D1064" t="s">
        <v>46</v>
      </c>
      <c r="E1064" t="s">
        <v>45</v>
      </c>
      <c r="F1064" t="s">
        <v>26</v>
      </c>
      <c r="G1064">
        <v>208</v>
      </c>
      <c r="H1064">
        <v>4571</v>
      </c>
      <c r="I1064">
        <v>13105.60836</v>
      </c>
      <c r="J1064" t="b">
        <v>1</v>
      </c>
      <c r="K1064">
        <v>13</v>
      </c>
      <c r="L1064" t="b">
        <v>0</v>
      </c>
      <c r="M1064">
        <v>11845.381460000001</v>
      </c>
      <c r="N1064">
        <v>2929</v>
      </c>
      <c r="O1064">
        <v>8478</v>
      </c>
      <c r="P1064" t="s">
        <v>27</v>
      </c>
      <c r="Q1064">
        <v>7.1013997951519289E-2</v>
      </c>
      <c r="R1064" t="s">
        <v>28</v>
      </c>
      <c r="S1064">
        <v>63.007732500000003</v>
      </c>
      <c r="T1064">
        <v>0.3454824251002595</v>
      </c>
      <c r="U1064" t="s">
        <v>34</v>
      </c>
      <c r="V1064">
        <v>0</v>
      </c>
    </row>
    <row r="1065" spans="1:22" x14ac:dyDescent="0.3">
      <c r="A1065" s="1">
        <v>45063</v>
      </c>
      <c r="B1065" t="s">
        <v>22</v>
      </c>
      <c r="C1065" t="s">
        <v>31</v>
      </c>
      <c r="D1065" t="s">
        <v>35</v>
      </c>
      <c r="E1065" t="s">
        <v>33</v>
      </c>
      <c r="F1065" t="s">
        <v>43</v>
      </c>
      <c r="G1065">
        <v>220</v>
      </c>
      <c r="H1065">
        <v>1287</v>
      </c>
      <c r="I1065">
        <v>7662.6976629999999</v>
      </c>
      <c r="J1065" t="b">
        <v>1</v>
      </c>
      <c r="K1065">
        <v>12</v>
      </c>
      <c r="L1065" t="b">
        <v>1</v>
      </c>
      <c r="M1065">
        <v>34830.53686</v>
      </c>
      <c r="N1065">
        <v>2483.5</v>
      </c>
      <c r="O1065">
        <v>7934</v>
      </c>
      <c r="P1065" t="s">
        <v>36</v>
      </c>
      <c r="Q1065">
        <v>8.8584658747735051E-2</v>
      </c>
      <c r="R1065" t="s">
        <v>28</v>
      </c>
      <c r="S1065">
        <v>34.83044392272727</v>
      </c>
      <c r="T1065">
        <v>0.31301991429291653</v>
      </c>
      <c r="U1065" t="s">
        <v>34</v>
      </c>
      <c r="V1065">
        <v>1</v>
      </c>
    </row>
    <row r="1066" spans="1:22" x14ac:dyDescent="0.3">
      <c r="A1066" s="1">
        <v>45062</v>
      </c>
      <c r="B1066" t="s">
        <v>22</v>
      </c>
      <c r="C1066" t="s">
        <v>44</v>
      </c>
      <c r="D1066" t="s">
        <v>35</v>
      </c>
      <c r="E1066" t="s">
        <v>25</v>
      </c>
      <c r="F1066" t="s">
        <v>26</v>
      </c>
      <c r="G1066">
        <v>832</v>
      </c>
      <c r="H1066">
        <v>3680</v>
      </c>
      <c r="I1066">
        <v>14754.43814</v>
      </c>
      <c r="J1066" t="b">
        <v>1</v>
      </c>
      <c r="K1066">
        <v>24</v>
      </c>
      <c r="L1066" t="b">
        <v>1</v>
      </c>
      <c r="M1066">
        <v>59789.619299999998</v>
      </c>
      <c r="N1066">
        <v>3156</v>
      </c>
      <c r="O1066">
        <v>7121</v>
      </c>
      <c r="P1066" t="s">
        <v>27</v>
      </c>
      <c r="Q1066">
        <v>0.26362484157160965</v>
      </c>
      <c r="R1066" t="s">
        <v>37</v>
      </c>
      <c r="S1066">
        <v>17.7336996875</v>
      </c>
      <c r="T1066">
        <v>0.44319618031175395</v>
      </c>
      <c r="U1066" t="s">
        <v>29</v>
      </c>
      <c r="V1066">
        <v>1</v>
      </c>
    </row>
    <row r="1067" spans="1:22" x14ac:dyDescent="0.3">
      <c r="A1067" s="1">
        <v>45061</v>
      </c>
      <c r="B1067" t="s">
        <v>30</v>
      </c>
      <c r="C1067" t="s">
        <v>23</v>
      </c>
      <c r="D1067" t="s">
        <v>46</v>
      </c>
      <c r="E1067" t="s">
        <v>33</v>
      </c>
      <c r="F1067" t="s">
        <v>26</v>
      </c>
      <c r="G1067">
        <v>841</v>
      </c>
      <c r="H1067">
        <v>2632</v>
      </c>
      <c r="I1067">
        <v>14605.508669999999</v>
      </c>
      <c r="J1067" t="b">
        <v>1</v>
      </c>
      <c r="K1067">
        <v>17</v>
      </c>
      <c r="L1067" t="b">
        <v>0</v>
      </c>
      <c r="M1067">
        <v>22043.196820000001</v>
      </c>
      <c r="N1067">
        <v>2523</v>
      </c>
      <c r="O1067">
        <v>6376</v>
      </c>
      <c r="P1067" t="s">
        <v>27</v>
      </c>
      <c r="Q1067">
        <v>0.33333333333333331</v>
      </c>
      <c r="R1067" t="s">
        <v>37</v>
      </c>
      <c r="S1067">
        <v>17.366835517241377</v>
      </c>
      <c r="T1067">
        <v>0.39570263488080298</v>
      </c>
      <c r="U1067" t="s">
        <v>34</v>
      </c>
      <c r="V1067">
        <v>0</v>
      </c>
    </row>
    <row r="1068" spans="1:22" x14ac:dyDescent="0.3">
      <c r="A1068" s="1">
        <v>45060</v>
      </c>
      <c r="B1068" t="s">
        <v>22</v>
      </c>
      <c r="C1068" t="s">
        <v>23</v>
      </c>
      <c r="D1068" t="s">
        <v>46</v>
      </c>
      <c r="E1068" t="s">
        <v>25</v>
      </c>
      <c r="F1068" t="s">
        <v>26</v>
      </c>
      <c r="G1068">
        <v>185</v>
      </c>
      <c r="H1068">
        <v>2414</v>
      </c>
      <c r="I1068">
        <v>10878.17093</v>
      </c>
      <c r="J1068" t="b">
        <v>0</v>
      </c>
      <c r="K1068">
        <v>17</v>
      </c>
      <c r="L1068" t="b">
        <v>0</v>
      </c>
      <c r="M1068">
        <v>14858.57806</v>
      </c>
      <c r="N1068">
        <v>1827</v>
      </c>
      <c r="O1068">
        <v>5828</v>
      </c>
      <c r="P1068" t="s">
        <v>27</v>
      </c>
      <c r="Q1068">
        <v>0.10125889436234264</v>
      </c>
      <c r="R1068" t="s">
        <v>37</v>
      </c>
      <c r="S1068">
        <v>58.800923945945947</v>
      </c>
      <c r="T1068">
        <v>0.3134866163349348</v>
      </c>
      <c r="U1068" t="s">
        <v>34</v>
      </c>
      <c r="V1068">
        <v>0</v>
      </c>
    </row>
    <row r="1069" spans="1:22" x14ac:dyDescent="0.3">
      <c r="A1069" s="1">
        <v>45059</v>
      </c>
      <c r="B1069" t="s">
        <v>22</v>
      </c>
      <c r="C1069" t="s">
        <v>31</v>
      </c>
      <c r="D1069" t="s">
        <v>32</v>
      </c>
      <c r="E1069" t="s">
        <v>45</v>
      </c>
      <c r="F1069" t="s">
        <v>26</v>
      </c>
      <c r="G1069">
        <v>807</v>
      </c>
      <c r="H1069">
        <v>1240</v>
      </c>
      <c r="I1069">
        <v>2525.5394030000002</v>
      </c>
      <c r="J1069" t="b">
        <v>1</v>
      </c>
      <c r="K1069">
        <v>17</v>
      </c>
      <c r="L1069" t="b">
        <v>1</v>
      </c>
      <c r="M1069">
        <v>109650.9118</v>
      </c>
      <c r="N1069">
        <v>2978</v>
      </c>
      <c r="O1069">
        <v>6822</v>
      </c>
      <c r="P1069" t="s">
        <v>36</v>
      </c>
      <c r="Q1069">
        <v>0.27098723975822697</v>
      </c>
      <c r="R1069" t="s">
        <v>37</v>
      </c>
      <c r="S1069">
        <v>3.1295407719950434</v>
      </c>
      <c r="T1069">
        <v>0.43652887716212252</v>
      </c>
      <c r="U1069" t="s">
        <v>29</v>
      </c>
      <c r="V1069">
        <v>1</v>
      </c>
    </row>
    <row r="1070" spans="1:22" x14ac:dyDescent="0.3">
      <c r="A1070" s="1">
        <v>45058</v>
      </c>
      <c r="B1070" t="s">
        <v>22</v>
      </c>
      <c r="C1070" t="s">
        <v>44</v>
      </c>
      <c r="D1070" t="s">
        <v>46</v>
      </c>
      <c r="E1070" t="s">
        <v>33</v>
      </c>
      <c r="F1070" t="s">
        <v>26</v>
      </c>
      <c r="G1070">
        <v>820</v>
      </c>
      <c r="H1070">
        <v>4716</v>
      </c>
      <c r="I1070">
        <v>672.81075320000002</v>
      </c>
      <c r="J1070" t="b">
        <v>1</v>
      </c>
      <c r="K1070">
        <v>9</v>
      </c>
      <c r="L1070" t="b">
        <v>0</v>
      </c>
      <c r="M1070">
        <v>123909.8011</v>
      </c>
      <c r="N1070">
        <v>4551</v>
      </c>
      <c r="O1070">
        <v>7709</v>
      </c>
      <c r="P1070" t="s">
        <v>27</v>
      </c>
      <c r="Q1070">
        <v>0.18018018018018017</v>
      </c>
      <c r="R1070" t="s">
        <v>28</v>
      </c>
      <c r="S1070">
        <v>0.82050091853658536</v>
      </c>
      <c r="T1070">
        <v>0.59034894279413674</v>
      </c>
      <c r="U1070" t="s">
        <v>29</v>
      </c>
      <c r="V1070">
        <v>0</v>
      </c>
    </row>
    <row r="1071" spans="1:22" x14ac:dyDescent="0.3">
      <c r="A1071" s="1">
        <v>45057</v>
      </c>
      <c r="B1071" t="s">
        <v>42</v>
      </c>
      <c r="C1071" t="s">
        <v>44</v>
      </c>
      <c r="D1071" t="s">
        <v>46</v>
      </c>
      <c r="E1071" t="s">
        <v>33</v>
      </c>
      <c r="F1071" t="s">
        <v>26</v>
      </c>
      <c r="G1071">
        <v>336</v>
      </c>
      <c r="H1071">
        <v>4386</v>
      </c>
      <c r="I1071">
        <v>1986.673374</v>
      </c>
      <c r="J1071" t="b">
        <v>1</v>
      </c>
      <c r="K1071">
        <v>9</v>
      </c>
      <c r="L1071" t="b">
        <v>0</v>
      </c>
      <c r="M1071">
        <v>65889.124819999997</v>
      </c>
      <c r="N1071">
        <v>2276</v>
      </c>
      <c r="O1071">
        <v>5760</v>
      </c>
      <c r="P1071" t="s">
        <v>27</v>
      </c>
      <c r="Q1071">
        <v>0.14762741652021089</v>
      </c>
      <c r="R1071" t="s">
        <v>28</v>
      </c>
      <c r="S1071">
        <v>5.9127183749999999</v>
      </c>
      <c r="T1071">
        <v>0.39513888888888887</v>
      </c>
      <c r="U1071" t="s">
        <v>34</v>
      </c>
      <c r="V1071">
        <v>0</v>
      </c>
    </row>
    <row r="1072" spans="1:22" x14ac:dyDescent="0.3">
      <c r="A1072" s="1">
        <v>45056</v>
      </c>
      <c r="B1072" t="s">
        <v>42</v>
      </c>
      <c r="C1072" t="s">
        <v>41</v>
      </c>
      <c r="D1072" t="s">
        <v>24</v>
      </c>
      <c r="E1072" t="s">
        <v>45</v>
      </c>
      <c r="F1072" t="s">
        <v>39</v>
      </c>
      <c r="G1072">
        <v>243</v>
      </c>
      <c r="H1072">
        <v>166</v>
      </c>
      <c r="I1072">
        <v>10170.57179</v>
      </c>
      <c r="J1072" t="b">
        <v>1</v>
      </c>
      <c r="K1072">
        <v>22</v>
      </c>
      <c r="L1072" t="b">
        <v>0</v>
      </c>
      <c r="M1072">
        <v>33969.381540000002</v>
      </c>
      <c r="N1072">
        <v>2489</v>
      </c>
      <c r="O1072">
        <v>6810</v>
      </c>
      <c r="P1072" t="s">
        <v>36</v>
      </c>
      <c r="Q1072">
        <v>9.7629570108477295E-2</v>
      </c>
      <c r="R1072" t="s">
        <v>37</v>
      </c>
      <c r="S1072">
        <v>41.854204897119338</v>
      </c>
      <c r="T1072">
        <v>0.36549192364170335</v>
      </c>
      <c r="U1072" t="s">
        <v>34</v>
      </c>
      <c r="V1072">
        <v>0</v>
      </c>
    </row>
    <row r="1073" spans="1:22" x14ac:dyDescent="0.3">
      <c r="A1073" s="1">
        <v>45055</v>
      </c>
      <c r="B1073" t="s">
        <v>42</v>
      </c>
      <c r="C1073" t="s">
        <v>44</v>
      </c>
      <c r="D1073" t="s">
        <v>32</v>
      </c>
      <c r="E1073" t="s">
        <v>25</v>
      </c>
      <c r="F1073" t="s">
        <v>26</v>
      </c>
      <c r="G1073">
        <v>286</v>
      </c>
      <c r="H1073">
        <v>4812</v>
      </c>
      <c r="I1073">
        <v>5474.2501220000004</v>
      </c>
      <c r="J1073" t="b">
        <v>1</v>
      </c>
      <c r="K1073">
        <v>10</v>
      </c>
      <c r="L1073" t="b">
        <v>1</v>
      </c>
      <c r="M1073">
        <v>34526.912859999997</v>
      </c>
      <c r="N1073">
        <v>4086</v>
      </c>
      <c r="O1073">
        <v>7707</v>
      </c>
      <c r="P1073" t="s">
        <v>27</v>
      </c>
      <c r="Q1073">
        <v>6.999510523739598E-2</v>
      </c>
      <c r="R1073" t="s">
        <v>28</v>
      </c>
      <c r="S1073">
        <v>19.140734692307692</v>
      </c>
      <c r="T1073">
        <v>0.53016738030362009</v>
      </c>
      <c r="U1073" t="s">
        <v>29</v>
      </c>
      <c r="V1073">
        <v>1</v>
      </c>
    </row>
    <row r="1074" spans="1:22" x14ac:dyDescent="0.3">
      <c r="A1074" s="1">
        <v>45054</v>
      </c>
      <c r="B1074" t="s">
        <v>22</v>
      </c>
      <c r="C1074" t="s">
        <v>41</v>
      </c>
      <c r="D1074" t="s">
        <v>24</v>
      </c>
      <c r="E1074" t="s">
        <v>45</v>
      </c>
      <c r="F1074" t="s">
        <v>39</v>
      </c>
      <c r="G1074">
        <v>913</v>
      </c>
      <c r="H1074">
        <v>3360</v>
      </c>
      <c r="I1074">
        <v>1327.8679</v>
      </c>
      <c r="J1074" t="b">
        <v>1</v>
      </c>
      <c r="K1074">
        <v>16</v>
      </c>
      <c r="L1074" t="b">
        <v>0</v>
      </c>
      <c r="M1074">
        <v>78489.554799999998</v>
      </c>
      <c r="N1074">
        <v>3016</v>
      </c>
      <c r="O1074">
        <v>6192</v>
      </c>
      <c r="P1074" t="s">
        <v>27</v>
      </c>
      <c r="Q1074">
        <v>0.30271883289124668</v>
      </c>
      <c r="R1074" t="s">
        <v>37</v>
      </c>
      <c r="S1074">
        <v>1.4544007667031762</v>
      </c>
      <c r="T1074">
        <v>0.48708010335917312</v>
      </c>
      <c r="U1074" t="s">
        <v>29</v>
      </c>
      <c r="V1074">
        <v>0</v>
      </c>
    </row>
    <row r="1075" spans="1:22" x14ac:dyDescent="0.3">
      <c r="A1075" s="1">
        <v>45053</v>
      </c>
      <c r="B1075" t="s">
        <v>38</v>
      </c>
      <c r="C1075" t="s">
        <v>41</v>
      </c>
      <c r="D1075" t="s">
        <v>24</v>
      </c>
      <c r="E1075" t="s">
        <v>25</v>
      </c>
      <c r="F1075" t="s">
        <v>43</v>
      </c>
      <c r="G1075">
        <v>333</v>
      </c>
      <c r="H1075">
        <v>2672</v>
      </c>
      <c r="I1075">
        <v>4950.5005579999997</v>
      </c>
      <c r="J1075" t="b">
        <v>1</v>
      </c>
      <c r="K1075">
        <v>23</v>
      </c>
      <c r="L1075" t="b">
        <v>0</v>
      </c>
      <c r="M1075">
        <v>30655.269660000002</v>
      </c>
      <c r="N1075">
        <v>3224</v>
      </c>
      <c r="O1075">
        <v>6274</v>
      </c>
      <c r="P1075" t="s">
        <v>36</v>
      </c>
      <c r="Q1075">
        <v>0.103287841191067</v>
      </c>
      <c r="R1075" t="s">
        <v>37</v>
      </c>
      <c r="S1075">
        <v>14.866368042042041</v>
      </c>
      <c r="T1075">
        <v>0.51386675167357343</v>
      </c>
      <c r="U1075" t="s">
        <v>29</v>
      </c>
      <c r="V1075">
        <v>0</v>
      </c>
    </row>
    <row r="1076" spans="1:22" x14ac:dyDescent="0.3">
      <c r="A1076" s="1">
        <v>45052</v>
      </c>
      <c r="B1076" t="s">
        <v>42</v>
      </c>
      <c r="C1076" t="s">
        <v>41</v>
      </c>
      <c r="D1076" t="s">
        <v>32</v>
      </c>
      <c r="E1076" t="s">
        <v>25</v>
      </c>
      <c r="F1076" t="s">
        <v>39</v>
      </c>
      <c r="G1076">
        <v>907</v>
      </c>
      <c r="H1076">
        <v>3776</v>
      </c>
      <c r="I1076">
        <v>10643.246740000001</v>
      </c>
      <c r="J1076" t="b">
        <v>1</v>
      </c>
      <c r="K1076">
        <v>24</v>
      </c>
      <c r="L1076" t="b">
        <v>0</v>
      </c>
      <c r="M1076">
        <v>43362.565739999998</v>
      </c>
      <c r="N1076">
        <v>3858.5</v>
      </c>
      <c r="O1076">
        <v>8665</v>
      </c>
      <c r="P1076" t="s">
        <v>36</v>
      </c>
      <c r="Q1076">
        <v>0.23506543993779966</v>
      </c>
      <c r="R1076" t="s">
        <v>37</v>
      </c>
      <c r="S1076">
        <v>11.734560904079384</v>
      </c>
      <c r="T1076">
        <v>0.44529717253317946</v>
      </c>
      <c r="U1076" t="s">
        <v>29</v>
      </c>
      <c r="V1076">
        <v>0</v>
      </c>
    </row>
    <row r="1077" spans="1:22" x14ac:dyDescent="0.3">
      <c r="A1077" s="1">
        <v>45051</v>
      </c>
      <c r="B1077" t="s">
        <v>22</v>
      </c>
      <c r="C1077" t="s">
        <v>41</v>
      </c>
      <c r="D1077" t="s">
        <v>35</v>
      </c>
      <c r="E1077" t="s">
        <v>33</v>
      </c>
      <c r="F1077" t="s">
        <v>39</v>
      </c>
      <c r="G1077">
        <v>478</v>
      </c>
      <c r="H1077">
        <v>3941</v>
      </c>
      <c r="I1077">
        <v>11368.410680000001</v>
      </c>
      <c r="J1077" t="b">
        <v>1</v>
      </c>
      <c r="K1077">
        <v>16</v>
      </c>
      <c r="L1077" t="b">
        <v>0</v>
      </c>
      <c r="M1077">
        <v>38466.885249999999</v>
      </c>
      <c r="N1077">
        <v>2331.5</v>
      </c>
      <c r="O1077">
        <v>9271</v>
      </c>
      <c r="P1077" t="s">
        <v>27</v>
      </c>
      <c r="Q1077">
        <v>0.20501822860819216</v>
      </c>
      <c r="R1077" t="s">
        <v>37</v>
      </c>
      <c r="S1077">
        <v>23.783285941422594</v>
      </c>
      <c r="T1077">
        <v>0.25148311940459495</v>
      </c>
      <c r="U1077" t="s">
        <v>34</v>
      </c>
      <c r="V1077">
        <v>0</v>
      </c>
    </row>
    <row r="1078" spans="1:22" x14ac:dyDescent="0.3">
      <c r="A1078" s="1">
        <v>45050</v>
      </c>
      <c r="B1078" t="s">
        <v>30</v>
      </c>
      <c r="C1078" t="s">
        <v>44</v>
      </c>
      <c r="D1078" t="s">
        <v>32</v>
      </c>
      <c r="E1078" t="s">
        <v>33</v>
      </c>
      <c r="F1078" t="s">
        <v>26</v>
      </c>
      <c r="G1078">
        <v>437</v>
      </c>
      <c r="H1078">
        <v>722</v>
      </c>
      <c r="I1078">
        <v>12344.9092</v>
      </c>
      <c r="J1078" t="b">
        <v>0</v>
      </c>
      <c r="K1078">
        <v>15</v>
      </c>
      <c r="L1078" t="b">
        <v>0</v>
      </c>
      <c r="M1078">
        <v>46757.278550000003</v>
      </c>
      <c r="N1078">
        <v>1251.5</v>
      </c>
      <c r="O1078">
        <v>8473</v>
      </c>
      <c r="P1078" t="s">
        <v>36</v>
      </c>
      <c r="Q1078">
        <v>0.34918098282061527</v>
      </c>
      <c r="R1078" t="s">
        <v>37</v>
      </c>
      <c r="S1078">
        <v>28.249220137299773</v>
      </c>
      <c r="T1078">
        <v>0.14770447303198395</v>
      </c>
      <c r="U1078" t="s">
        <v>34</v>
      </c>
      <c r="V1078">
        <v>0</v>
      </c>
    </row>
    <row r="1079" spans="1:22" x14ac:dyDescent="0.3">
      <c r="A1079" s="1">
        <v>45049</v>
      </c>
      <c r="B1079" t="s">
        <v>38</v>
      </c>
      <c r="C1079" t="s">
        <v>41</v>
      </c>
      <c r="D1079" t="s">
        <v>32</v>
      </c>
      <c r="E1079" t="s">
        <v>45</v>
      </c>
      <c r="F1079" t="s">
        <v>26</v>
      </c>
      <c r="G1079">
        <v>239</v>
      </c>
      <c r="H1079">
        <v>1781</v>
      </c>
      <c r="I1079">
        <v>10096.25556</v>
      </c>
      <c r="J1079" t="b">
        <v>1</v>
      </c>
      <c r="K1079">
        <v>6</v>
      </c>
      <c r="L1079" t="b">
        <v>0</v>
      </c>
      <c r="M1079">
        <v>42179.559520000003</v>
      </c>
      <c r="N1079">
        <v>1334</v>
      </c>
      <c r="O1079">
        <v>9578</v>
      </c>
      <c r="P1079" t="s">
        <v>27</v>
      </c>
      <c r="Q1079">
        <v>0.17916041979010494</v>
      </c>
      <c r="R1079" t="s">
        <v>40</v>
      </c>
      <c r="S1079">
        <v>42.243747112970709</v>
      </c>
      <c r="T1079">
        <v>0.13927751096262267</v>
      </c>
      <c r="U1079" t="s">
        <v>34</v>
      </c>
      <c r="V1079">
        <v>0</v>
      </c>
    </row>
    <row r="1080" spans="1:22" x14ac:dyDescent="0.3">
      <c r="A1080" s="1">
        <v>45048</v>
      </c>
      <c r="B1080" t="s">
        <v>22</v>
      </c>
      <c r="C1080" t="s">
        <v>31</v>
      </c>
      <c r="D1080" t="s">
        <v>46</v>
      </c>
      <c r="E1080" t="s">
        <v>25</v>
      </c>
      <c r="F1080" t="s">
        <v>43</v>
      </c>
      <c r="G1080">
        <v>961</v>
      </c>
      <c r="H1080">
        <v>887</v>
      </c>
      <c r="I1080">
        <v>14725.1505</v>
      </c>
      <c r="J1080" t="b">
        <v>1</v>
      </c>
      <c r="K1080">
        <v>29</v>
      </c>
      <c r="L1080" t="b">
        <v>0</v>
      </c>
      <c r="M1080">
        <v>183479.5191</v>
      </c>
      <c r="N1080">
        <v>2159.5</v>
      </c>
      <c r="O1080">
        <v>7104</v>
      </c>
      <c r="P1080" t="s">
        <v>36</v>
      </c>
      <c r="Q1080">
        <v>0.44501041907849037</v>
      </c>
      <c r="R1080" t="s">
        <v>37</v>
      </c>
      <c r="S1080">
        <v>15.322737252861602</v>
      </c>
      <c r="T1080">
        <v>0.30398367117117114</v>
      </c>
      <c r="U1080" t="s">
        <v>34</v>
      </c>
      <c r="V1080">
        <v>0</v>
      </c>
    </row>
    <row r="1081" spans="1:22" x14ac:dyDescent="0.3">
      <c r="A1081" s="1">
        <v>45047</v>
      </c>
      <c r="B1081" t="s">
        <v>42</v>
      </c>
      <c r="C1081" t="s">
        <v>23</v>
      </c>
      <c r="D1081" t="s">
        <v>24</v>
      </c>
      <c r="E1081" t="s">
        <v>25</v>
      </c>
      <c r="F1081" t="s">
        <v>26</v>
      </c>
      <c r="G1081">
        <v>781</v>
      </c>
      <c r="H1081">
        <v>3432</v>
      </c>
      <c r="I1081">
        <v>13751.20621</v>
      </c>
      <c r="J1081" t="b">
        <v>1</v>
      </c>
      <c r="K1081">
        <v>29</v>
      </c>
      <c r="L1081" t="b">
        <v>0</v>
      </c>
      <c r="M1081">
        <v>133496.46919999999</v>
      </c>
      <c r="N1081">
        <v>1837</v>
      </c>
      <c r="O1081">
        <v>7739</v>
      </c>
      <c r="P1081" t="s">
        <v>27</v>
      </c>
      <c r="Q1081">
        <v>0.42514970059880242</v>
      </c>
      <c r="R1081" t="s">
        <v>37</v>
      </c>
      <c r="S1081">
        <v>17.607178245838668</v>
      </c>
      <c r="T1081">
        <v>0.23736916914330017</v>
      </c>
      <c r="U1081" t="s">
        <v>34</v>
      </c>
      <c r="V1081">
        <v>0</v>
      </c>
    </row>
    <row r="1082" spans="1:22" x14ac:dyDescent="0.3">
      <c r="A1082" s="1">
        <v>45046</v>
      </c>
      <c r="B1082" t="s">
        <v>22</v>
      </c>
      <c r="C1082" t="s">
        <v>31</v>
      </c>
      <c r="D1082" t="s">
        <v>24</v>
      </c>
      <c r="E1082" t="s">
        <v>45</v>
      </c>
      <c r="F1082" t="s">
        <v>26</v>
      </c>
      <c r="G1082">
        <v>769</v>
      </c>
      <c r="H1082">
        <v>242</v>
      </c>
      <c r="I1082">
        <v>5404.3490259999999</v>
      </c>
      <c r="J1082" t="b">
        <v>1</v>
      </c>
      <c r="K1082">
        <v>13</v>
      </c>
      <c r="L1082" t="b">
        <v>0</v>
      </c>
      <c r="M1082">
        <v>117243.5529</v>
      </c>
      <c r="N1082">
        <v>306.5</v>
      </c>
      <c r="O1082">
        <v>8542</v>
      </c>
      <c r="P1082" t="s">
        <v>36</v>
      </c>
      <c r="Q1082">
        <v>2.5089722675367048</v>
      </c>
      <c r="R1082" t="s">
        <v>28</v>
      </c>
      <c r="S1082">
        <v>7.0277620624187254</v>
      </c>
      <c r="T1082">
        <v>3.5881526574572699E-2</v>
      </c>
      <c r="U1082" t="s">
        <v>34</v>
      </c>
      <c r="V1082">
        <v>0</v>
      </c>
    </row>
    <row r="1083" spans="1:22" x14ac:dyDescent="0.3">
      <c r="A1083" s="1">
        <v>45045</v>
      </c>
      <c r="B1083" t="s">
        <v>42</v>
      </c>
      <c r="C1083" t="s">
        <v>44</v>
      </c>
      <c r="D1083" t="s">
        <v>46</v>
      </c>
      <c r="E1083" t="s">
        <v>45</v>
      </c>
      <c r="F1083" t="s">
        <v>26</v>
      </c>
      <c r="G1083">
        <v>236</v>
      </c>
      <c r="H1083">
        <v>371</v>
      </c>
      <c r="I1083">
        <v>14006.445390000001</v>
      </c>
      <c r="J1083" t="b">
        <v>1</v>
      </c>
      <c r="K1083">
        <v>19</v>
      </c>
      <c r="L1083" t="b">
        <v>0</v>
      </c>
      <c r="M1083">
        <v>27130.906879999999</v>
      </c>
      <c r="N1083">
        <v>1875.5</v>
      </c>
      <c r="O1083">
        <v>8945</v>
      </c>
      <c r="P1083" t="s">
        <v>36</v>
      </c>
      <c r="Q1083">
        <v>0.12583311117035456</v>
      </c>
      <c r="R1083" t="s">
        <v>37</v>
      </c>
      <c r="S1083">
        <v>59.34934487288136</v>
      </c>
      <c r="T1083">
        <v>0.2096702068194522</v>
      </c>
      <c r="U1083" t="s">
        <v>34</v>
      </c>
      <c r="V1083">
        <v>0</v>
      </c>
    </row>
    <row r="1084" spans="1:22" x14ac:dyDescent="0.3">
      <c r="A1084" s="1">
        <v>45044</v>
      </c>
      <c r="B1084" t="s">
        <v>38</v>
      </c>
      <c r="C1084" t="s">
        <v>23</v>
      </c>
      <c r="D1084" t="s">
        <v>46</v>
      </c>
      <c r="E1084" t="s">
        <v>33</v>
      </c>
      <c r="F1084" t="s">
        <v>26</v>
      </c>
      <c r="G1084">
        <v>857</v>
      </c>
      <c r="H1084">
        <v>3380</v>
      </c>
      <c r="I1084">
        <v>6270.4250229999998</v>
      </c>
      <c r="J1084" t="b">
        <v>1</v>
      </c>
      <c r="K1084">
        <v>23</v>
      </c>
      <c r="L1084" t="b">
        <v>0</v>
      </c>
      <c r="M1084">
        <v>156587.95619999999</v>
      </c>
      <c r="N1084">
        <v>2445.5</v>
      </c>
      <c r="O1084">
        <v>7589</v>
      </c>
      <c r="P1084" t="s">
        <v>27</v>
      </c>
      <c r="Q1084">
        <v>0.35043958290738092</v>
      </c>
      <c r="R1084" t="s">
        <v>37</v>
      </c>
      <c r="S1084">
        <v>7.3167153127187863</v>
      </c>
      <c r="T1084">
        <v>0.32224271972591911</v>
      </c>
      <c r="U1084" t="s">
        <v>34</v>
      </c>
      <c r="V1084">
        <v>0</v>
      </c>
    </row>
    <row r="1085" spans="1:22" x14ac:dyDescent="0.3">
      <c r="A1085" s="1">
        <v>45043</v>
      </c>
      <c r="B1085" t="s">
        <v>22</v>
      </c>
      <c r="C1085" t="s">
        <v>44</v>
      </c>
      <c r="D1085" t="s">
        <v>35</v>
      </c>
      <c r="E1085" t="s">
        <v>25</v>
      </c>
      <c r="F1085" t="s">
        <v>26</v>
      </c>
      <c r="G1085">
        <v>885</v>
      </c>
      <c r="H1085">
        <v>1511</v>
      </c>
      <c r="I1085">
        <v>4489.9666310000002</v>
      </c>
      <c r="J1085" t="b">
        <v>1</v>
      </c>
      <c r="K1085">
        <v>1</v>
      </c>
      <c r="L1085" t="b">
        <v>0</v>
      </c>
      <c r="M1085">
        <v>24622.580040000001</v>
      </c>
      <c r="N1085">
        <v>2139.5</v>
      </c>
      <c r="O1085">
        <v>8043</v>
      </c>
      <c r="P1085" t="s">
        <v>36</v>
      </c>
      <c r="Q1085">
        <v>0.41364804860948817</v>
      </c>
      <c r="R1085" t="s">
        <v>40</v>
      </c>
      <c r="S1085">
        <v>5.0734086225988699</v>
      </c>
      <c r="T1085">
        <v>0.26600770856645528</v>
      </c>
      <c r="U1085" t="s">
        <v>34</v>
      </c>
      <c r="V1085">
        <v>0</v>
      </c>
    </row>
    <row r="1086" spans="1:22" x14ac:dyDescent="0.3">
      <c r="A1086" s="1">
        <v>45042</v>
      </c>
      <c r="B1086" t="s">
        <v>42</v>
      </c>
      <c r="C1086" t="s">
        <v>23</v>
      </c>
      <c r="D1086" t="s">
        <v>32</v>
      </c>
      <c r="E1086" t="s">
        <v>45</v>
      </c>
      <c r="F1086" t="s">
        <v>26</v>
      </c>
      <c r="G1086">
        <v>800</v>
      </c>
      <c r="H1086">
        <v>2768</v>
      </c>
      <c r="I1086">
        <v>14229.762849999999</v>
      </c>
      <c r="J1086" t="b">
        <v>1</v>
      </c>
      <c r="K1086">
        <v>6</v>
      </c>
      <c r="L1086" t="b">
        <v>0</v>
      </c>
      <c r="M1086">
        <v>16977.119630000001</v>
      </c>
      <c r="N1086">
        <v>2029.5</v>
      </c>
      <c r="O1086">
        <v>9531</v>
      </c>
      <c r="P1086" t="s">
        <v>27</v>
      </c>
      <c r="Q1086">
        <v>0.39418576003941858</v>
      </c>
      <c r="R1086" t="s">
        <v>40</v>
      </c>
      <c r="S1086">
        <v>17.7872035625</v>
      </c>
      <c r="T1086">
        <v>0.21293673276676109</v>
      </c>
      <c r="U1086" t="s">
        <v>34</v>
      </c>
      <c r="V1086">
        <v>0</v>
      </c>
    </row>
    <row r="1087" spans="1:22" x14ac:dyDescent="0.3">
      <c r="A1087" s="1">
        <v>45041</v>
      </c>
      <c r="B1087" t="s">
        <v>30</v>
      </c>
      <c r="C1087" t="s">
        <v>44</v>
      </c>
      <c r="D1087" t="s">
        <v>24</v>
      </c>
      <c r="E1087" t="s">
        <v>45</v>
      </c>
      <c r="F1087" t="s">
        <v>26</v>
      </c>
      <c r="G1087">
        <v>512</v>
      </c>
      <c r="H1087">
        <v>1291</v>
      </c>
      <c r="I1087">
        <v>11871.93384</v>
      </c>
      <c r="J1087" t="b">
        <v>1</v>
      </c>
      <c r="K1087">
        <v>15</v>
      </c>
      <c r="L1087" t="b">
        <v>0</v>
      </c>
      <c r="M1087">
        <v>67653.181330000007</v>
      </c>
      <c r="N1087">
        <v>2838.5</v>
      </c>
      <c r="O1087">
        <v>8545</v>
      </c>
      <c r="P1087" t="s">
        <v>36</v>
      </c>
      <c r="Q1087">
        <v>0.18037695966179321</v>
      </c>
      <c r="R1087" t="s">
        <v>37</v>
      </c>
      <c r="S1087">
        <v>23.187370781249999</v>
      </c>
      <c r="T1087">
        <v>0.33218256290228204</v>
      </c>
      <c r="U1087" t="s">
        <v>34</v>
      </c>
      <c r="V1087">
        <v>0</v>
      </c>
    </row>
    <row r="1088" spans="1:22" x14ac:dyDescent="0.3">
      <c r="A1088" s="1">
        <v>45040</v>
      </c>
      <c r="B1088" t="s">
        <v>38</v>
      </c>
      <c r="C1088" t="s">
        <v>41</v>
      </c>
      <c r="D1088" t="s">
        <v>32</v>
      </c>
      <c r="E1088" t="s">
        <v>33</v>
      </c>
      <c r="F1088" t="s">
        <v>43</v>
      </c>
      <c r="G1088">
        <v>929</v>
      </c>
      <c r="H1088">
        <v>4386</v>
      </c>
      <c r="I1088">
        <v>7222.5200779999996</v>
      </c>
      <c r="J1088" t="b">
        <v>0</v>
      </c>
      <c r="K1088">
        <v>24</v>
      </c>
      <c r="L1088" t="b">
        <v>0</v>
      </c>
      <c r="M1088">
        <v>32748.330419999998</v>
      </c>
      <c r="N1088">
        <v>2500.5</v>
      </c>
      <c r="O1088">
        <v>8735</v>
      </c>
      <c r="P1088" t="s">
        <v>27</v>
      </c>
      <c r="Q1088">
        <v>0.37152569486102782</v>
      </c>
      <c r="R1088" t="s">
        <v>37</v>
      </c>
      <c r="S1088">
        <v>7.774510310010764</v>
      </c>
      <c r="T1088">
        <v>0.28626216370921581</v>
      </c>
      <c r="U1088" t="s">
        <v>34</v>
      </c>
      <c r="V1088">
        <v>0</v>
      </c>
    </row>
    <row r="1089" spans="1:22" x14ac:dyDescent="0.3">
      <c r="A1089" s="1">
        <v>45039</v>
      </c>
      <c r="B1089" t="s">
        <v>42</v>
      </c>
      <c r="C1089" t="s">
        <v>41</v>
      </c>
      <c r="D1089" t="s">
        <v>46</v>
      </c>
      <c r="E1089" t="s">
        <v>45</v>
      </c>
      <c r="F1089" t="s">
        <v>43</v>
      </c>
      <c r="G1089">
        <v>982</v>
      </c>
      <c r="H1089">
        <v>615</v>
      </c>
      <c r="I1089">
        <v>12945.79126</v>
      </c>
      <c r="J1089" t="b">
        <v>1</v>
      </c>
      <c r="K1089">
        <v>28</v>
      </c>
      <c r="L1089" t="b">
        <v>0</v>
      </c>
      <c r="M1089">
        <v>163735.8793</v>
      </c>
      <c r="N1089">
        <v>596.5</v>
      </c>
      <c r="O1089">
        <v>6955</v>
      </c>
      <c r="P1089" t="s">
        <v>27</v>
      </c>
      <c r="Q1089">
        <v>1.6462699077954737</v>
      </c>
      <c r="R1089" t="s">
        <v>37</v>
      </c>
      <c r="S1089">
        <v>13.183086822810591</v>
      </c>
      <c r="T1089">
        <v>8.5765636232925949E-2</v>
      </c>
      <c r="U1089" t="s">
        <v>34</v>
      </c>
      <c r="V1089">
        <v>0</v>
      </c>
    </row>
    <row r="1090" spans="1:22" x14ac:dyDescent="0.3">
      <c r="A1090" s="1">
        <v>45038</v>
      </c>
      <c r="B1090" t="s">
        <v>30</v>
      </c>
      <c r="C1090" t="s">
        <v>44</v>
      </c>
      <c r="D1090" t="s">
        <v>24</v>
      </c>
      <c r="E1090" t="s">
        <v>45</v>
      </c>
      <c r="F1090" t="s">
        <v>43</v>
      </c>
      <c r="G1090">
        <v>447</v>
      </c>
      <c r="H1090">
        <v>578</v>
      </c>
      <c r="I1090">
        <v>12463.012129999999</v>
      </c>
      <c r="J1090" t="b">
        <v>1</v>
      </c>
      <c r="K1090">
        <v>13</v>
      </c>
      <c r="L1090" t="b">
        <v>0</v>
      </c>
      <c r="M1090">
        <v>72501.369149999999</v>
      </c>
      <c r="N1090">
        <v>2577</v>
      </c>
      <c r="O1090">
        <v>5215</v>
      </c>
      <c r="P1090" t="s">
        <v>36</v>
      </c>
      <c r="Q1090">
        <v>0.17345750873108265</v>
      </c>
      <c r="R1090" t="s">
        <v>28</v>
      </c>
      <c r="S1090">
        <v>27.881458903803129</v>
      </c>
      <c r="T1090">
        <v>0.4941514860977948</v>
      </c>
      <c r="U1090" t="s">
        <v>29</v>
      </c>
      <c r="V1090">
        <v>0</v>
      </c>
    </row>
    <row r="1091" spans="1:22" x14ac:dyDescent="0.3">
      <c r="A1091" s="1">
        <v>45037</v>
      </c>
      <c r="B1091" t="s">
        <v>42</v>
      </c>
      <c r="C1091" t="s">
        <v>31</v>
      </c>
      <c r="D1091" t="s">
        <v>32</v>
      </c>
      <c r="E1091" t="s">
        <v>25</v>
      </c>
      <c r="F1091" t="s">
        <v>26</v>
      </c>
      <c r="G1091">
        <v>177</v>
      </c>
      <c r="H1091">
        <v>4576</v>
      </c>
      <c r="I1091">
        <v>9094.0929660000002</v>
      </c>
      <c r="J1091" t="b">
        <v>1</v>
      </c>
      <c r="K1091">
        <v>23</v>
      </c>
      <c r="L1091" t="b">
        <v>0</v>
      </c>
      <c r="M1091">
        <v>25224.0393</v>
      </c>
      <c r="N1091">
        <v>3227.5</v>
      </c>
      <c r="O1091">
        <v>5284</v>
      </c>
      <c r="P1091" t="s">
        <v>27</v>
      </c>
      <c r="Q1091">
        <v>5.4841208365608053E-2</v>
      </c>
      <c r="R1091" t="s">
        <v>37</v>
      </c>
      <c r="S1091">
        <v>51.379056305084745</v>
      </c>
      <c r="T1091">
        <v>0.61080620741862224</v>
      </c>
      <c r="U1091" t="s">
        <v>29</v>
      </c>
      <c r="V1091">
        <v>0</v>
      </c>
    </row>
    <row r="1092" spans="1:22" x14ac:dyDescent="0.3">
      <c r="A1092" s="1">
        <v>45036</v>
      </c>
      <c r="B1092" t="s">
        <v>30</v>
      </c>
      <c r="C1092" t="s">
        <v>23</v>
      </c>
      <c r="D1092" t="s">
        <v>32</v>
      </c>
      <c r="E1092" t="s">
        <v>25</v>
      </c>
      <c r="F1092" t="s">
        <v>43</v>
      </c>
      <c r="G1092">
        <v>875</v>
      </c>
      <c r="H1092">
        <v>1879</v>
      </c>
      <c r="I1092">
        <v>1431.4593500000001</v>
      </c>
      <c r="J1092" t="b">
        <v>1</v>
      </c>
      <c r="K1092">
        <v>5</v>
      </c>
      <c r="L1092" t="b">
        <v>0</v>
      </c>
      <c r="M1092">
        <v>147177.22760000001</v>
      </c>
      <c r="N1092">
        <v>2313</v>
      </c>
      <c r="O1092">
        <v>8088</v>
      </c>
      <c r="P1092" t="s">
        <v>36</v>
      </c>
      <c r="Q1092">
        <v>0.37829658452226544</v>
      </c>
      <c r="R1092" t="s">
        <v>40</v>
      </c>
      <c r="S1092">
        <v>1.635953542857143</v>
      </c>
      <c r="T1092">
        <v>0.28597922848664686</v>
      </c>
      <c r="U1092" t="s">
        <v>34</v>
      </c>
      <c r="V1092">
        <v>0</v>
      </c>
    </row>
    <row r="1093" spans="1:22" x14ac:dyDescent="0.3">
      <c r="A1093" s="1">
        <v>45035</v>
      </c>
      <c r="B1093" t="s">
        <v>38</v>
      </c>
      <c r="C1093" t="s">
        <v>41</v>
      </c>
      <c r="D1093" t="s">
        <v>32</v>
      </c>
      <c r="E1093" t="s">
        <v>25</v>
      </c>
      <c r="F1093" t="s">
        <v>39</v>
      </c>
      <c r="G1093">
        <v>190</v>
      </c>
      <c r="H1093">
        <v>2747</v>
      </c>
      <c r="I1093">
        <v>1906.7641639999999</v>
      </c>
      <c r="J1093" t="b">
        <v>1</v>
      </c>
      <c r="K1093">
        <v>4</v>
      </c>
      <c r="L1093" t="b">
        <v>0</v>
      </c>
      <c r="M1093">
        <v>17778.943459999999</v>
      </c>
      <c r="N1093">
        <v>1560</v>
      </c>
      <c r="O1093">
        <v>5734</v>
      </c>
      <c r="P1093" t="s">
        <v>27</v>
      </c>
      <c r="Q1093">
        <v>0.12179487179487179</v>
      </c>
      <c r="R1093" t="s">
        <v>40</v>
      </c>
      <c r="S1093">
        <v>10.035600863157894</v>
      </c>
      <c r="T1093">
        <v>0.27206138821067316</v>
      </c>
      <c r="U1093" t="s">
        <v>34</v>
      </c>
      <c r="V1093">
        <v>0</v>
      </c>
    </row>
    <row r="1094" spans="1:22" x14ac:dyDescent="0.3">
      <c r="A1094" s="1">
        <v>45034</v>
      </c>
      <c r="B1094" t="s">
        <v>42</v>
      </c>
      <c r="C1094" t="s">
        <v>23</v>
      </c>
      <c r="D1094" t="s">
        <v>46</v>
      </c>
      <c r="E1094" t="s">
        <v>45</v>
      </c>
      <c r="F1094" t="s">
        <v>26</v>
      </c>
      <c r="G1094">
        <v>213</v>
      </c>
      <c r="H1094">
        <v>373</v>
      </c>
      <c r="I1094">
        <v>3583.6321539999999</v>
      </c>
      <c r="J1094" t="b">
        <v>1</v>
      </c>
      <c r="K1094">
        <v>14</v>
      </c>
      <c r="L1094" t="b">
        <v>0</v>
      </c>
      <c r="M1094">
        <v>34443.176599999999</v>
      </c>
      <c r="N1094">
        <v>1256.5</v>
      </c>
      <c r="O1094">
        <v>6447</v>
      </c>
      <c r="P1094" t="s">
        <v>36</v>
      </c>
      <c r="Q1094">
        <v>0.16951850378034222</v>
      </c>
      <c r="R1094" t="s">
        <v>28</v>
      </c>
      <c r="S1094">
        <v>16.824564103286384</v>
      </c>
      <c r="T1094">
        <v>0.19489685124864278</v>
      </c>
      <c r="U1094" t="s">
        <v>34</v>
      </c>
      <c r="V1094">
        <v>0</v>
      </c>
    </row>
    <row r="1095" spans="1:22" x14ac:dyDescent="0.3">
      <c r="A1095" s="1">
        <v>45033</v>
      </c>
      <c r="B1095" t="s">
        <v>38</v>
      </c>
      <c r="C1095" t="s">
        <v>23</v>
      </c>
      <c r="D1095" t="s">
        <v>24</v>
      </c>
      <c r="E1095" t="s">
        <v>33</v>
      </c>
      <c r="F1095" t="s">
        <v>26</v>
      </c>
      <c r="G1095">
        <v>849</v>
      </c>
      <c r="H1095">
        <v>2140</v>
      </c>
      <c r="I1095">
        <v>9031.3024939999996</v>
      </c>
      <c r="J1095" t="b">
        <v>1</v>
      </c>
      <c r="K1095">
        <v>20</v>
      </c>
      <c r="L1095" t="b">
        <v>0</v>
      </c>
      <c r="M1095">
        <v>169257.5662</v>
      </c>
      <c r="N1095">
        <v>1636.5</v>
      </c>
      <c r="O1095">
        <v>9702</v>
      </c>
      <c r="P1095" t="s">
        <v>27</v>
      </c>
      <c r="Q1095">
        <v>0.51879010082493127</v>
      </c>
      <c r="R1095" t="s">
        <v>37</v>
      </c>
      <c r="S1095">
        <v>10.637576553592462</v>
      </c>
      <c r="T1095">
        <v>0.16867656153370439</v>
      </c>
      <c r="U1095" t="s">
        <v>34</v>
      </c>
      <c r="V1095">
        <v>0</v>
      </c>
    </row>
    <row r="1096" spans="1:22" x14ac:dyDescent="0.3">
      <c r="A1096" s="1">
        <v>45032</v>
      </c>
      <c r="B1096" t="s">
        <v>38</v>
      </c>
      <c r="C1096" t="s">
        <v>31</v>
      </c>
      <c r="D1096" t="s">
        <v>35</v>
      </c>
      <c r="E1096" t="s">
        <v>25</v>
      </c>
      <c r="F1096" t="s">
        <v>26</v>
      </c>
      <c r="G1096">
        <v>404</v>
      </c>
      <c r="H1096">
        <v>1133</v>
      </c>
      <c r="I1096">
        <v>11401.02152</v>
      </c>
      <c r="J1096" t="b">
        <v>1</v>
      </c>
      <c r="K1096">
        <v>1</v>
      </c>
      <c r="L1096" t="b">
        <v>0</v>
      </c>
      <c r="M1096">
        <v>16686.072670000001</v>
      </c>
      <c r="N1096">
        <v>1117</v>
      </c>
      <c r="O1096">
        <v>7278</v>
      </c>
      <c r="P1096" t="s">
        <v>27</v>
      </c>
      <c r="Q1096">
        <v>0.36168307967770813</v>
      </c>
      <c r="R1096" t="s">
        <v>40</v>
      </c>
      <c r="S1096">
        <v>28.220350297029704</v>
      </c>
      <c r="T1096">
        <v>0.15347622973344324</v>
      </c>
      <c r="U1096" t="s">
        <v>34</v>
      </c>
      <c r="V1096">
        <v>0</v>
      </c>
    </row>
    <row r="1097" spans="1:22" x14ac:dyDescent="0.3">
      <c r="A1097" s="1">
        <v>45031</v>
      </c>
      <c r="B1097" t="s">
        <v>38</v>
      </c>
      <c r="C1097" t="s">
        <v>44</v>
      </c>
      <c r="D1097" t="s">
        <v>46</v>
      </c>
      <c r="E1097" t="s">
        <v>45</v>
      </c>
      <c r="F1097" t="s">
        <v>26</v>
      </c>
      <c r="G1097">
        <v>114</v>
      </c>
      <c r="H1097">
        <v>1101</v>
      </c>
      <c r="I1097">
        <v>11634.207270000001</v>
      </c>
      <c r="J1097" t="b">
        <v>1</v>
      </c>
      <c r="K1097">
        <v>8</v>
      </c>
      <c r="L1097" t="b">
        <v>0</v>
      </c>
      <c r="M1097">
        <v>9636.5765919999994</v>
      </c>
      <c r="N1097">
        <v>1899.5</v>
      </c>
      <c r="O1097">
        <v>8662</v>
      </c>
      <c r="P1097" t="s">
        <v>36</v>
      </c>
      <c r="Q1097">
        <v>6.0015793629902607E-2</v>
      </c>
      <c r="R1097" t="s">
        <v>28</v>
      </c>
      <c r="S1097">
        <v>102.05444973684212</v>
      </c>
      <c r="T1097">
        <v>0.21929115677672592</v>
      </c>
      <c r="U1097" t="s">
        <v>34</v>
      </c>
      <c r="V1097">
        <v>0</v>
      </c>
    </row>
    <row r="1098" spans="1:22" x14ac:dyDescent="0.3">
      <c r="A1098" s="1">
        <v>45030</v>
      </c>
      <c r="B1098" t="s">
        <v>42</v>
      </c>
      <c r="C1098" t="s">
        <v>44</v>
      </c>
      <c r="D1098" t="s">
        <v>46</v>
      </c>
      <c r="E1098" t="s">
        <v>45</v>
      </c>
      <c r="F1098" t="s">
        <v>26</v>
      </c>
      <c r="G1098">
        <v>99</v>
      </c>
      <c r="H1098">
        <v>2698</v>
      </c>
      <c r="I1098">
        <v>4198.8547760000001</v>
      </c>
      <c r="J1098" t="b">
        <v>1</v>
      </c>
      <c r="K1098">
        <v>15</v>
      </c>
      <c r="L1098" t="b">
        <v>0</v>
      </c>
      <c r="M1098">
        <v>16044.324329999999</v>
      </c>
      <c r="N1098">
        <v>2156</v>
      </c>
      <c r="O1098">
        <v>8403</v>
      </c>
      <c r="P1098" t="s">
        <v>27</v>
      </c>
      <c r="Q1098">
        <v>4.5918367346938778E-2</v>
      </c>
      <c r="R1098" t="s">
        <v>37</v>
      </c>
      <c r="S1098">
        <v>42.412674505050504</v>
      </c>
      <c r="T1098">
        <v>0.25657503272640725</v>
      </c>
      <c r="U1098" t="s">
        <v>34</v>
      </c>
      <c r="V1098">
        <v>0</v>
      </c>
    </row>
    <row r="1099" spans="1:22" x14ac:dyDescent="0.3">
      <c r="A1099" s="1">
        <v>45029</v>
      </c>
      <c r="B1099" t="s">
        <v>38</v>
      </c>
      <c r="C1099" t="s">
        <v>31</v>
      </c>
      <c r="D1099" t="s">
        <v>24</v>
      </c>
      <c r="E1099" t="s">
        <v>45</v>
      </c>
      <c r="F1099" t="s">
        <v>26</v>
      </c>
      <c r="G1099">
        <v>412</v>
      </c>
      <c r="H1099">
        <v>1614</v>
      </c>
      <c r="I1099">
        <v>8318.2706529999996</v>
      </c>
      <c r="J1099" t="b">
        <v>1</v>
      </c>
      <c r="K1099">
        <v>21</v>
      </c>
      <c r="L1099" t="b">
        <v>0</v>
      </c>
      <c r="M1099">
        <v>19755.312890000001</v>
      </c>
      <c r="N1099">
        <v>1891</v>
      </c>
      <c r="O1099">
        <v>8161</v>
      </c>
      <c r="P1099" t="s">
        <v>36</v>
      </c>
      <c r="Q1099">
        <v>0.21787414066631411</v>
      </c>
      <c r="R1099" t="s">
        <v>37</v>
      </c>
      <c r="S1099">
        <v>20.189977313106795</v>
      </c>
      <c r="T1099">
        <v>0.23171180002450681</v>
      </c>
      <c r="U1099" t="s">
        <v>34</v>
      </c>
      <c r="V1099">
        <v>0</v>
      </c>
    </row>
    <row r="1100" spans="1:22" x14ac:dyDescent="0.3">
      <c r="A1100" s="1">
        <v>45028</v>
      </c>
      <c r="B1100" t="s">
        <v>38</v>
      </c>
      <c r="C1100" t="s">
        <v>23</v>
      </c>
      <c r="D1100" t="s">
        <v>35</v>
      </c>
      <c r="E1100" t="s">
        <v>45</v>
      </c>
      <c r="F1100" t="s">
        <v>43</v>
      </c>
      <c r="G1100">
        <v>376</v>
      </c>
      <c r="H1100">
        <v>2168</v>
      </c>
      <c r="I1100">
        <v>7956.291663</v>
      </c>
      <c r="J1100" t="b">
        <v>1</v>
      </c>
      <c r="K1100">
        <v>27</v>
      </c>
      <c r="L1100" t="b">
        <v>0</v>
      </c>
      <c r="M1100">
        <v>10905.507019999999</v>
      </c>
      <c r="N1100">
        <v>1156</v>
      </c>
      <c r="O1100">
        <v>9934</v>
      </c>
      <c r="P1100" t="s">
        <v>27</v>
      </c>
      <c r="Q1100">
        <v>0.32525951557093424</v>
      </c>
      <c r="R1100" t="s">
        <v>37</v>
      </c>
      <c r="S1100">
        <v>21.16035016755319</v>
      </c>
      <c r="T1100">
        <v>0.11636802899134287</v>
      </c>
      <c r="U1100" t="s">
        <v>34</v>
      </c>
      <c r="V1100">
        <v>0</v>
      </c>
    </row>
    <row r="1101" spans="1:22" x14ac:dyDescent="0.3">
      <c r="A1101" s="1">
        <v>45027</v>
      </c>
      <c r="B1101" t="s">
        <v>30</v>
      </c>
      <c r="C1101" t="s">
        <v>31</v>
      </c>
      <c r="D1101" t="s">
        <v>46</v>
      </c>
      <c r="E1101" t="s">
        <v>33</v>
      </c>
      <c r="F1101" t="s">
        <v>26</v>
      </c>
      <c r="G1101">
        <v>194</v>
      </c>
      <c r="H1101">
        <v>144</v>
      </c>
      <c r="I1101">
        <v>13250.20472</v>
      </c>
      <c r="J1101" t="b">
        <v>1</v>
      </c>
      <c r="K1101">
        <v>18</v>
      </c>
      <c r="L1101" t="b">
        <v>0</v>
      </c>
      <c r="M1101">
        <v>35881.462850000004</v>
      </c>
      <c r="N1101">
        <v>294</v>
      </c>
      <c r="O1101">
        <v>9995</v>
      </c>
      <c r="P1101" t="s">
        <v>36</v>
      </c>
      <c r="Q1101">
        <v>0.65986394557823125</v>
      </c>
      <c r="R1101" t="s">
        <v>37</v>
      </c>
      <c r="S1101">
        <v>68.3000243298969</v>
      </c>
      <c r="T1101">
        <v>2.941470735367684E-2</v>
      </c>
      <c r="U1101" t="s">
        <v>34</v>
      </c>
      <c r="V1101">
        <v>0</v>
      </c>
    </row>
    <row r="1102" spans="1:22" x14ac:dyDescent="0.3">
      <c r="A1102" s="1">
        <v>45026</v>
      </c>
      <c r="B1102" t="s">
        <v>22</v>
      </c>
      <c r="C1102" t="s">
        <v>44</v>
      </c>
      <c r="D1102" t="s">
        <v>32</v>
      </c>
      <c r="E1102" t="s">
        <v>45</v>
      </c>
      <c r="F1102" t="s">
        <v>26</v>
      </c>
      <c r="G1102">
        <v>430</v>
      </c>
      <c r="H1102">
        <v>444</v>
      </c>
      <c r="I1102">
        <v>10373.82273</v>
      </c>
      <c r="J1102" t="b">
        <v>1</v>
      </c>
      <c r="K1102">
        <v>1</v>
      </c>
      <c r="L1102" t="b">
        <v>0</v>
      </c>
      <c r="M1102">
        <v>55321.124530000001</v>
      </c>
      <c r="N1102">
        <v>1003</v>
      </c>
      <c r="O1102">
        <v>6638</v>
      </c>
      <c r="P1102" t="s">
        <v>36</v>
      </c>
      <c r="Q1102">
        <v>0.42871385842472581</v>
      </c>
      <c r="R1102" t="s">
        <v>40</v>
      </c>
      <c r="S1102">
        <v>24.125169139534883</v>
      </c>
      <c r="T1102">
        <v>0.15109972883398615</v>
      </c>
      <c r="U1102" t="s">
        <v>34</v>
      </c>
      <c r="V1102">
        <v>0</v>
      </c>
    </row>
    <row r="1103" spans="1:22" x14ac:dyDescent="0.3">
      <c r="A1103" s="1">
        <v>45025</v>
      </c>
      <c r="B1103" t="s">
        <v>38</v>
      </c>
      <c r="C1103" t="s">
        <v>41</v>
      </c>
      <c r="D1103" t="s">
        <v>35</v>
      </c>
      <c r="E1103" t="s">
        <v>45</v>
      </c>
      <c r="F1103" t="s">
        <v>26</v>
      </c>
      <c r="G1103">
        <v>366</v>
      </c>
      <c r="H1103">
        <v>1562</v>
      </c>
      <c r="I1103">
        <v>1830.775294</v>
      </c>
      <c r="J1103" t="b">
        <v>1</v>
      </c>
      <c r="K1103">
        <v>3</v>
      </c>
      <c r="L1103" t="b">
        <v>0</v>
      </c>
      <c r="M1103">
        <v>54675.086519999997</v>
      </c>
      <c r="N1103">
        <v>1766.5</v>
      </c>
      <c r="O1103">
        <v>7969</v>
      </c>
      <c r="P1103" t="s">
        <v>36</v>
      </c>
      <c r="Q1103">
        <v>0.20718935748655534</v>
      </c>
      <c r="R1103" t="s">
        <v>40</v>
      </c>
      <c r="S1103">
        <v>5.0021182896174867</v>
      </c>
      <c r="T1103">
        <v>0.22167147697327141</v>
      </c>
      <c r="U1103" t="s">
        <v>34</v>
      </c>
      <c r="V1103">
        <v>0</v>
      </c>
    </row>
    <row r="1104" spans="1:22" x14ac:dyDescent="0.3">
      <c r="A1104" s="1">
        <v>45024</v>
      </c>
      <c r="B1104" t="s">
        <v>42</v>
      </c>
      <c r="C1104" t="s">
        <v>41</v>
      </c>
      <c r="D1104" t="s">
        <v>46</v>
      </c>
      <c r="E1104" t="s">
        <v>25</v>
      </c>
      <c r="F1104" t="s">
        <v>26</v>
      </c>
      <c r="G1104">
        <v>969</v>
      </c>
      <c r="H1104">
        <v>1971</v>
      </c>
      <c r="I1104">
        <v>813.86063950000005</v>
      </c>
      <c r="J1104" t="b">
        <v>1</v>
      </c>
      <c r="K1104">
        <v>4</v>
      </c>
      <c r="L1104" t="b">
        <v>0</v>
      </c>
      <c r="M1104">
        <v>62841.015809999997</v>
      </c>
      <c r="N1104">
        <v>2524</v>
      </c>
      <c r="O1104">
        <v>7068</v>
      </c>
      <c r="P1104" t="s">
        <v>36</v>
      </c>
      <c r="Q1104">
        <v>0.38391442155309036</v>
      </c>
      <c r="R1104" t="s">
        <v>40</v>
      </c>
      <c r="S1104">
        <v>0.83989746078431382</v>
      </c>
      <c r="T1104">
        <v>0.3571024335031126</v>
      </c>
      <c r="U1104" t="s">
        <v>34</v>
      </c>
      <c r="V1104">
        <v>0</v>
      </c>
    </row>
    <row r="1105" spans="1:22" x14ac:dyDescent="0.3">
      <c r="A1105" s="1">
        <v>45023</v>
      </c>
      <c r="B1105" t="s">
        <v>38</v>
      </c>
      <c r="C1105" t="s">
        <v>31</v>
      </c>
      <c r="D1105" t="s">
        <v>32</v>
      </c>
      <c r="E1105" t="s">
        <v>25</v>
      </c>
      <c r="F1105" t="s">
        <v>43</v>
      </c>
      <c r="G1105">
        <v>921</v>
      </c>
      <c r="H1105">
        <v>3077</v>
      </c>
      <c r="I1105">
        <v>5542.8448440000002</v>
      </c>
      <c r="J1105" t="b">
        <v>1</v>
      </c>
      <c r="K1105">
        <v>17</v>
      </c>
      <c r="L1105" t="b">
        <v>0</v>
      </c>
      <c r="M1105">
        <v>20430.041069999999</v>
      </c>
      <c r="N1105">
        <v>3876.5</v>
      </c>
      <c r="O1105">
        <v>7827</v>
      </c>
      <c r="P1105" t="s">
        <v>36</v>
      </c>
      <c r="Q1105">
        <v>0.23758545079324134</v>
      </c>
      <c r="R1105" t="s">
        <v>37</v>
      </c>
      <c r="S1105">
        <v>6.0182897328990226</v>
      </c>
      <c r="T1105">
        <v>0.4952727737319535</v>
      </c>
      <c r="U1105" t="s">
        <v>29</v>
      </c>
      <c r="V1105">
        <v>0</v>
      </c>
    </row>
    <row r="1106" spans="1:22" x14ac:dyDescent="0.3">
      <c r="A1106" s="1">
        <v>45022</v>
      </c>
      <c r="B1106" t="s">
        <v>38</v>
      </c>
      <c r="C1106" t="s">
        <v>44</v>
      </c>
      <c r="D1106" t="s">
        <v>32</v>
      </c>
      <c r="E1106" t="s">
        <v>33</v>
      </c>
      <c r="F1106" t="s">
        <v>43</v>
      </c>
      <c r="G1106">
        <v>93</v>
      </c>
      <c r="H1106">
        <v>4676</v>
      </c>
      <c r="I1106">
        <v>6414.4910920000002</v>
      </c>
      <c r="J1106" t="b">
        <v>1</v>
      </c>
      <c r="K1106">
        <v>19</v>
      </c>
      <c r="L1106" t="b">
        <v>0</v>
      </c>
      <c r="M1106">
        <v>7959.8268319999997</v>
      </c>
      <c r="N1106">
        <v>4381</v>
      </c>
      <c r="O1106">
        <v>7180</v>
      </c>
      <c r="P1106" t="s">
        <v>27</v>
      </c>
      <c r="Q1106">
        <v>2.1228030130107281E-2</v>
      </c>
      <c r="R1106" t="s">
        <v>37</v>
      </c>
      <c r="S1106">
        <v>68.973022494623663</v>
      </c>
      <c r="T1106">
        <v>0.61016713091922004</v>
      </c>
      <c r="U1106" t="s">
        <v>29</v>
      </c>
      <c r="V1106">
        <v>0</v>
      </c>
    </row>
    <row r="1107" spans="1:22" x14ac:dyDescent="0.3">
      <c r="A1107" s="1">
        <v>45021</v>
      </c>
      <c r="B1107" t="s">
        <v>38</v>
      </c>
      <c r="C1107" t="s">
        <v>23</v>
      </c>
      <c r="D1107" t="s">
        <v>24</v>
      </c>
      <c r="E1107" t="s">
        <v>33</v>
      </c>
      <c r="F1107" t="s">
        <v>26</v>
      </c>
      <c r="G1107">
        <v>481</v>
      </c>
      <c r="H1107">
        <v>4086</v>
      </c>
      <c r="I1107">
        <v>3733.642441</v>
      </c>
      <c r="J1107" t="b">
        <v>1</v>
      </c>
      <c r="K1107">
        <v>23</v>
      </c>
      <c r="L1107" t="b">
        <v>0</v>
      </c>
      <c r="M1107">
        <v>44079.397360000003</v>
      </c>
      <c r="N1107">
        <v>2925</v>
      </c>
      <c r="O1107">
        <v>9789</v>
      </c>
      <c r="P1107" t="s">
        <v>27</v>
      </c>
      <c r="Q1107">
        <v>0.16444444444444445</v>
      </c>
      <c r="R1107" t="s">
        <v>37</v>
      </c>
      <c r="S1107">
        <v>7.7622503970893968</v>
      </c>
      <c r="T1107">
        <v>0.29880478087649404</v>
      </c>
      <c r="U1107" t="s">
        <v>34</v>
      </c>
      <c r="V1107">
        <v>0</v>
      </c>
    </row>
    <row r="1108" spans="1:22" x14ac:dyDescent="0.3">
      <c r="A1108" s="1">
        <v>45020</v>
      </c>
      <c r="B1108" t="s">
        <v>38</v>
      </c>
      <c r="C1108" t="s">
        <v>41</v>
      </c>
      <c r="D1108" t="s">
        <v>32</v>
      </c>
      <c r="E1108" t="s">
        <v>25</v>
      </c>
      <c r="F1108" t="s">
        <v>26</v>
      </c>
      <c r="G1108">
        <v>171</v>
      </c>
      <c r="H1108">
        <v>1764</v>
      </c>
      <c r="I1108">
        <v>1586.9206300000001</v>
      </c>
      <c r="J1108" t="b">
        <v>1</v>
      </c>
      <c r="K1108">
        <v>20</v>
      </c>
      <c r="L1108" t="b">
        <v>0</v>
      </c>
      <c r="M1108">
        <v>21114.483059999999</v>
      </c>
      <c r="N1108">
        <v>2376</v>
      </c>
      <c r="O1108">
        <v>7799</v>
      </c>
      <c r="P1108" t="s">
        <v>36</v>
      </c>
      <c r="Q1108">
        <v>7.1969696969696975E-2</v>
      </c>
      <c r="R1108" t="s">
        <v>37</v>
      </c>
      <c r="S1108">
        <v>9.2802376023391826</v>
      </c>
      <c r="T1108">
        <v>0.30465444287729199</v>
      </c>
      <c r="U1108" t="s">
        <v>34</v>
      </c>
      <c r="V1108">
        <v>0</v>
      </c>
    </row>
    <row r="1109" spans="1:22" x14ac:dyDescent="0.3">
      <c r="A1109" s="1">
        <v>45019</v>
      </c>
      <c r="B1109" t="s">
        <v>38</v>
      </c>
      <c r="C1109" t="s">
        <v>23</v>
      </c>
      <c r="D1109" t="s">
        <v>32</v>
      </c>
      <c r="E1109" t="s">
        <v>25</v>
      </c>
      <c r="F1109" t="s">
        <v>39</v>
      </c>
      <c r="G1109">
        <v>977</v>
      </c>
      <c r="H1109">
        <v>2988</v>
      </c>
      <c r="I1109">
        <v>14973.898660000001</v>
      </c>
      <c r="J1109" t="b">
        <v>1</v>
      </c>
      <c r="K1109">
        <v>22</v>
      </c>
      <c r="L1109" t="b">
        <v>0</v>
      </c>
      <c r="M1109">
        <v>174677.84020000001</v>
      </c>
      <c r="N1109">
        <v>3855.5</v>
      </c>
      <c r="O1109">
        <v>7727</v>
      </c>
      <c r="P1109" t="s">
        <v>36</v>
      </c>
      <c r="Q1109">
        <v>0.2534042277266243</v>
      </c>
      <c r="R1109" t="s">
        <v>37</v>
      </c>
      <c r="S1109">
        <v>15.326405997952918</v>
      </c>
      <c r="T1109">
        <v>0.49896466934127087</v>
      </c>
      <c r="U1109" t="s">
        <v>29</v>
      </c>
      <c r="V1109">
        <v>0</v>
      </c>
    </row>
    <row r="1110" spans="1:22" x14ac:dyDescent="0.3">
      <c r="A1110" s="1">
        <v>45018</v>
      </c>
      <c r="B1110" t="s">
        <v>42</v>
      </c>
      <c r="C1110" t="s">
        <v>41</v>
      </c>
      <c r="D1110" t="s">
        <v>24</v>
      </c>
      <c r="E1110" t="s">
        <v>33</v>
      </c>
      <c r="F1110" t="s">
        <v>26</v>
      </c>
      <c r="G1110">
        <v>724</v>
      </c>
      <c r="H1110">
        <v>4723</v>
      </c>
      <c r="I1110">
        <v>9986.1966990000001</v>
      </c>
      <c r="J1110" t="b">
        <v>1</v>
      </c>
      <c r="K1110">
        <v>12</v>
      </c>
      <c r="L1110" t="b">
        <v>0</v>
      </c>
      <c r="M1110">
        <v>142191.78950000001</v>
      </c>
      <c r="N1110">
        <v>4820.5</v>
      </c>
      <c r="O1110">
        <v>6350</v>
      </c>
      <c r="P1110" t="s">
        <v>36</v>
      </c>
      <c r="Q1110">
        <v>0.15019188880821491</v>
      </c>
      <c r="R1110" t="s">
        <v>28</v>
      </c>
      <c r="S1110">
        <v>13.793089363259668</v>
      </c>
      <c r="T1110">
        <v>0.75913385826771651</v>
      </c>
      <c r="U1110" t="s">
        <v>29</v>
      </c>
      <c r="V1110">
        <v>0</v>
      </c>
    </row>
    <row r="1111" spans="1:22" x14ac:dyDescent="0.3">
      <c r="A1111" s="1">
        <v>45017</v>
      </c>
      <c r="B1111" t="s">
        <v>42</v>
      </c>
      <c r="C1111" t="s">
        <v>41</v>
      </c>
      <c r="D1111" t="s">
        <v>35</v>
      </c>
      <c r="E1111" t="s">
        <v>25</v>
      </c>
      <c r="F1111" t="s">
        <v>43</v>
      </c>
      <c r="G1111">
        <v>661</v>
      </c>
      <c r="H1111">
        <v>4918</v>
      </c>
      <c r="I1111">
        <v>9241.9467980000009</v>
      </c>
      <c r="J1111" t="b">
        <v>0</v>
      </c>
      <c r="K1111">
        <v>7</v>
      </c>
      <c r="L1111" t="b">
        <v>0</v>
      </c>
      <c r="M1111">
        <v>131539.6715</v>
      </c>
      <c r="N1111">
        <v>2619</v>
      </c>
      <c r="O1111">
        <v>6474</v>
      </c>
      <c r="P1111" t="s">
        <v>27</v>
      </c>
      <c r="Q1111">
        <v>0.25238640702558229</v>
      </c>
      <c r="R1111" t="s">
        <v>40</v>
      </c>
      <c r="S1111">
        <v>13.981765201210289</v>
      </c>
      <c r="T1111">
        <v>0.4045412418906395</v>
      </c>
      <c r="U1111" t="s">
        <v>29</v>
      </c>
      <c r="V1111">
        <v>0</v>
      </c>
    </row>
    <row r="1112" spans="1:22" x14ac:dyDescent="0.3">
      <c r="A1112" s="1">
        <v>45016</v>
      </c>
      <c r="B1112" t="s">
        <v>38</v>
      </c>
      <c r="C1112" t="s">
        <v>41</v>
      </c>
      <c r="D1112" t="s">
        <v>35</v>
      </c>
      <c r="E1112" t="s">
        <v>45</v>
      </c>
      <c r="F1112" t="s">
        <v>43</v>
      </c>
      <c r="G1112">
        <v>965</v>
      </c>
      <c r="H1112">
        <v>320</v>
      </c>
      <c r="I1112">
        <v>11941.893620000001</v>
      </c>
      <c r="J1112" t="b">
        <v>1</v>
      </c>
      <c r="K1112">
        <v>1</v>
      </c>
      <c r="L1112" t="b">
        <v>0</v>
      </c>
      <c r="M1112">
        <v>101879.80039999999</v>
      </c>
      <c r="N1112">
        <v>1090.5</v>
      </c>
      <c r="O1112">
        <v>9805</v>
      </c>
      <c r="P1112" t="s">
        <v>36</v>
      </c>
      <c r="Q1112">
        <v>0.88491517652453</v>
      </c>
      <c r="R1112" t="s">
        <v>40</v>
      </c>
      <c r="S1112">
        <v>12.375019295336788</v>
      </c>
      <c r="T1112">
        <v>0.11121876593574707</v>
      </c>
      <c r="U1112" t="s">
        <v>34</v>
      </c>
      <c r="V1112">
        <v>0</v>
      </c>
    </row>
    <row r="1113" spans="1:22" x14ac:dyDescent="0.3">
      <c r="A1113" s="1">
        <v>45015</v>
      </c>
      <c r="B1113" t="s">
        <v>42</v>
      </c>
      <c r="C1113" t="s">
        <v>23</v>
      </c>
      <c r="D1113" t="s">
        <v>32</v>
      </c>
      <c r="E1113" t="s">
        <v>33</v>
      </c>
      <c r="F1113" t="s">
        <v>26</v>
      </c>
      <c r="G1113">
        <v>964</v>
      </c>
      <c r="H1113">
        <v>1861</v>
      </c>
      <c r="I1113">
        <v>7228.0062090000001</v>
      </c>
      <c r="J1113" t="b">
        <v>1</v>
      </c>
      <c r="K1113">
        <v>6</v>
      </c>
      <c r="L1113" t="b">
        <v>0</v>
      </c>
      <c r="M1113">
        <v>169003.91440000001</v>
      </c>
      <c r="N1113">
        <v>3200.5</v>
      </c>
      <c r="O1113">
        <v>8096</v>
      </c>
      <c r="P1113" t="s">
        <v>36</v>
      </c>
      <c r="Q1113">
        <v>0.3012029370410873</v>
      </c>
      <c r="R1113" t="s">
        <v>40</v>
      </c>
      <c r="S1113">
        <v>7.4979317520746891</v>
      </c>
      <c r="T1113">
        <v>0.39531867588932806</v>
      </c>
      <c r="U1113" t="s">
        <v>34</v>
      </c>
      <c r="V1113">
        <v>0</v>
      </c>
    </row>
    <row r="1114" spans="1:22" x14ac:dyDescent="0.3">
      <c r="A1114" s="1">
        <v>45014</v>
      </c>
      <c r="B1114" t="s">
        <v>22</v>
      </c>
      <c r="C1114" t="s">
        <v>44</v>
      </c>
      <c r="D1114" t="s">
        <v>46</v>
      </c>
      <c r="E1114" t="s">
        <v>33</v>
      </c>
      <c r="F1114" t="s">
        <v>26</v>
      </c>
      <c r="G1114">
        <v>468</v>
      </c>
      <c r="H1114">
        <v>4540</v>
      </c>
      <c r="I1114">
        <v>6832.9883589999999</v>
      </c>
      <c r="J1114" t="b">
        <v>1</v>
      </c>
      <c r="K1114">
        <v>20</v>
      </c>
      <c r="L1114" t="b">
        <v>0</v>
      </c>
      <c r="M1114">
        <v>70143.699070000002</v>
      </c>
      <c r="N1114">
        <v>4096.5</v>
      </c>
      <c r="O1114">
        <v>6121</v>
      </c>
      <c r="P1114" t="s">
        <v>27</v>
      </c>
      <c r="Q1114">
        <v>0.11424386671548883</v>
      </c>
      <c r="R1114" t="s">
        <v>37</v>
      </c>
      <c r="S1114">
        <v>14.600402476495727</v>
      </c>
      <c r="T1114">
        <v>0.66925338996895933</v>
      </c>
      <c r="U1114" t="s">
        <v>29</v>
      </c>
      <c r="V1114">
        <v>0</v>
      </c>
    </row>
    <row r="1115" spans="1:22" x14ac:dyDescent="0.3">
      <c r="A1115" s="1">
        <v>45013</v>
      </c>
      <c r="B1115" t="s">
        <v>38</v>
      </c>
      <c r="C1115" t="s">
        <v>44</v>
      </c>
      <c r="D1115" t="s">
        <v>46</v>
      </c>
      <c r="E1115" t="s">
        <v>45</v>
      </c>
      <c r="F1115" t="s">
        <v>26</v>
      </c>
      <c r="G1115">
        <v>386</v>
      </c>
      <c r="H1115">
        <v>3653</v>
      </c>
      <c r="I1115">
        <v>2973.7163070000001</v>
      </c>
      <c r="J1115" t="b">
        <v>1</v>
      </c>
      <c r="K1115">
        <v>29</v>
      </c>
      <c r="L1115" t="b">
        <v>0</v>
      </c>
      <c r="M1115">
        <v>52787.900390000003</v>
      </c>
      <c r="N1115">
        <v>4169.5</v>
      </c>
      <c r="O1115">
        <v>8378</v>
      </c>
      <c r="P1115" t="s">
        <v>36</v>
      </c>
      <c r="Q1115">
        <v>9.257704760762682E-2</v>
      </c>
      <c r="R1115" t="s">
        <v>37</v>
      </c>
      <c r="S1115">
        <v>7.7039282564766847</v>
      </c>
      <c r="T1115">
        <v>0.49767247553115301</v>
      </c>
      <c r="U1115" t="s">
        <v>29</v>
      </c>
      <c r="V1115">
        <v>0</v>
      </c>
    </row>
    <row r="1116" spans="1:22" x14ac:dyDescent="0.3">
      <c r="A1116" s="1">
        <v>45012</v>
      </c>
      <c r="B1116" t="s">
        <v>30</v>
      </c>
      <c r="C1116" t="s">
        <v>44</v>
      </c>
      <c r="D1116" t="s">
        <v>35</v>
      </c>
      <c r="E1116" t="s">
        <v>45</v>
      </c>
      <c r="F1116" t="s">
        <v>39</v>
      </c>
      <c r="G1116">
        <v>468</v>
      </c>
      <c r="H1116">
        <v>4686</v>
      </c>
      <c r="I1116">
        <v>12943.99847</v>
      </c>
      <c r="J1116" t="b">
        <v>1</v>
      </c>
      <c r="K1116">
        <v>11</v>
      </c>
      <c r="L1116" t="b">
        <v>0</v>
      </c>
      <c r="M1116">
        <v>32499.674490000001</v>
      </c>
      <c r="N1116">
        <v>3991.5</v>
      </c>
      <c r="O1116">
        <v>8734</v>
      </c>
      <c r="P1116" t="s">
        <v>27</v>
      </c>
      <c r="Q1116">
        <v>0.11724915445321307</v>
      </c>
      <c r="R1116" t="s">
        <v>28</v>
      </c>
      <c r="S1116">
        <v>27.658116388888889</v>
      </c>
      <c r="T1116">
        <v>0.45700709869475614</v>
      </c>
      <c r="U1116" t="s">
        <v>29</v>
      </c>
      <c r="V1116">
        <v>0</v>
      </c>
    </row>
    <row r="1117" spans="1:22" x14ac:dyDescent="0.3">
      <c r="A1117" s="1">
        <v>45011</v>
      </c>
      <c r="B1117" t="s">
        <v>30</v>
      </c>
      <c r="C1117" t="s">
        <v>31</v>
      </c>
      <c r="D1117" t="s">
        <v>35</v>
      </c>
      <c r="E1117" t="s">
        <v>45</v>
      </c>
      <c r="F1117" t="s">
        <v>26</v>
      </c>
      <c r="G1117">
        <v>800</v>
      </c>
      <c r="H1117">
        <v>3297</v>
      </c>
      <c r="I1117">
        <v>14019.048049999999</v>
      </c>
      <c r="J1117" t="b">
        <v>0</v>
      </c>
      <c r="K1117">
        <v>13</v>
      </c>
      <c r="L1117" t="b">
        <v>0</v>
      </c>
      <c r="M1117">
        <v>88246.645600000003</v>
      </c>
      <c r="N1117">
        <v>4000</v>
      </c>
      <c r="O1117">
        <v>8631</v>
      </c>
      <c r="P1117" t="s">
        <v>36</v>
      </c>
      <c r="Q1117">
        <v>0.2</v>
      </c>
      <c r="R1117" t="s">
        <v>28</v>
      </c>
      <c r="S1117">
        <v>17.523810062500001</v>
      </c>
      <c r="T1117">
        <v>0.4634457189201715</v>
      </c>
      <c r="U1117" t="s">
        <v>29</v>
      </c>
      <c r="V1117">
        <v>0</v>
      </c>
    </row>
    <row r="1118" spans="1:22" x14ac:dyDescent="0.3">
      <c r="A1118" s="1">
        <v>45010</v>
      </c>
      <c r="B1118" t="s">
        <v>42</v>
      </c>
      <c r="C1118" t="s">
        <v>41</v>
      </c>
      <c r="D1118" t="s">
        <v>32</v>
      </c>
      <c r="E1118" t="s">
        <v>33</v>
      </c>
      <c r="F1118" t="s">
        <v>26</v>
      </c>
      <c r="G1118">
        <v>540</v>
      </c>
      <c r="H1118">
        <v>4703</v>
      </c>
      <c r="I1118">
        <v>8796.4934460000004</v>
      </c>
      <c r="J1118" t="b">
        <v>1</v>
      </c>
      <c r="K1118">
        <v>23</v>
      </c>
      <c r="L1118" t="b">
        <v>0</v>
      </c>
      <c r="M1118">
        <v>12953.624379999999</v>
      </c>
      <c r="N1118">
        <v>4409.5</v>
      </c>
      <c r="O1118">
        <v>5741</v>
      </c>
      <c r="P1118" t="s">
        <v>27</v>
      </c>
      <c r="Q1118">
        <v>0.12246286427032543</v>
      </c>
      <c r="R1118" t="s">
        <v>37</v>
      </c>
      <c r="S1118">
        <v>16.289802677777779</v>
      </c>
      <c r="T1118">
        <v>0.76807176450095804</v>
      </c>
      <c r="U1118" t="s">
        <v>29</v>
      </c>
      <c r="V1118">
        <v>0</v>
      </c>
    </row>
    <row r="1119" spans="1:22" x14ac:dyDescent="0.3">
      <c r="A1119" s="1">
        <v>45009</v>
      </c>
      <c r="B1119" t="s">
        <v>22</v>
      </c>
      <c r="C1119" t="s">
        <v>41</v>
      </c>
      <c r="D1119" t="s">
        <v>24</v>
      </c>
      <c r="E1119" t="s">
        <v>33</v>
      </c>
      <c r="F1119" t="s">
        <v>26</v>
      </c>
      <c r="G1119">
        <v>624</v>
      </c>
      <c r="H1119">
        <v>4116</v>
      </c>
      <c r="I1119">
        <v>7851.4944919999998</v>
      </c>
      <c r="J1119" t="b">
        <v>1</v>
      </c>
      <c r="K1119">
        <v>26</v>
      </c>
      <c r="L1119" t="b">
        <v>0</v>
      </c>
      <c r="M1119">
        <v>98392.013510000004</v>
      </c>
      <c r="N1119">
        <v>3346</v>
      </c>
      <c r="O1119">
        <v>6340</v>
      </c>
      <c r="P1119" t="s">
        <v>27</v>
      </c>
      <c r="Q1119">
        <v>0.18649133293484757</v>
      </c>
      <c r="R1119" t="s">
        <v>37</v>
      </c>
      <c r="S1119">
        <v>12.582523224358974</v>
      </c>
      <c r="T1119">
        <v>0.5277602523659306</v>
      </c>
      <c r="U1119" t="s">
        <v>29</v>
      </c>
      <c r="V1119">
        <v>0</v>
      </c>
    </row>
    <row r="1120" spans="1:22" x14ac:dyDescent="0.3">
      <c r="A1120" s="1">
        <v>45008</v>
      </c>
      <c r="B1120" t="s">
        <v>42</v>
      </c>
      <c r="C1120" t="s">
        <v>31</v>
      </c>
      <c r="D1120" t="s">
        <v>24</v>
      </c>
      <c r="E1120" t="s">
        <v>33</v>
      </c>
      <c r="F1120" t="s">
        <v>26</v>
      </c>
      <c r="G1120">
        <v>68</v>
      </c>
      <c r="H1120">
        <v>2576</v>
      </c>
      <c r="I1120">
        <v>7081.9289779999999</v>
      </c>
      <c r="J1120" t="b">
        <v>0</v>
      </c>
      <c r="K1120">
        <v>29</v>
      </c>
      <c r="L1120" t="b">
        <v>0</v>
      </c>
      <c r="M1120">
        <v>12104.33073</v>
      </c>
      <c r="N1120">
        <v>3462</v>
      </c>
      <c r="O1120">
        <v>6562</v>
      </c>
      <c r="P1120" t="s">
        <v>36</v>
      </c>
      <c r="Q1120">
        <v>1.9641825534373193E-2</v>
      </c>
      <c r="R1120" t="s">
        <v>37</v>
      </c>
      <c r="S1120">
        <v>104.14601438235294</v>
      </c>
      <c r="T1120">
        <v>0.52758305394696736</v>
      </c>
      <c r="U1120" t="s">
        <v>29</v>
      </c>
      <c r="V1120">
        <v>0</v>
      </c>
    </row>
    <row r="1121" spans="1:22" x14ac:dyDescent="0.3">
      <c r="A1121" s="1">
        <v>45007</v>
      </c>
      <c r="B1121" t="s">
        <v>30</v>
      </c>
      <c r="C1121" t="s">
        <v>44</v>
      </c>
      <c r="D1121" t="s">
        <v>24</v>
      </c>
      <c r="E1121" t="s">
        <v>25</v>
      </c>
      <c r="F1121" t="s">
        <v>26</v>
      </c>
      <c r="G1121">
        <v>448</v>
      </c>
      <c r="H1121">
        <v>4348</v>
      </c>
      <c r="I1121">
        <v>14557.618039999999</v>
      </c>
      <c r="J1121" t="b">
        <v>1</v>
      </c>
      <c r="K1121">
        <v>9</v>
      </c>
      <c r="L1121" t="b">
        <v>0</v>
      </c>
      <c r="M1121">
        <v>32619.465120000001</v>
      </c>
      <c r="N1121">
        <v>3248</v>
      </c>
      <c r="O1121">
        <v>5756</v>
      </c>
      <c r="P1121" t="s">
        <v>27</v>
      </c>
      <c r="Q1121">
        <v>0.13793103448275862</v>
      </c>
      <c r="R1121" t="s">
        <v>28</v>
      </c>
      <c r="S1121">
        <v>32.494683125000002</v>
      </c>
      <c r="T1121">
        <v>0.56428075052119531</v>
      </c>
      <c r="U1121" t="s">
        <v>29</v>
      </c>
      <c r="V1121">
        <v>0</v>
      </c>
    </row>
    <row r="1122" spans="1:22" x14ac:dyDescent="0.3">
      <c r="A1122" s="1">
        <v>45006</v>
      </c>
      <c r="B1122" t="s">
        <v>42</v>
      </c>
      <c r="C1122" t="s">
        <v>23</v>
      </c>
      <c r="D1122" t="s">
        <v>24</v>
      </c>
      <c r="E1122" t="s">
        <v>33</v>
      </c>
      <c r="F1122" t="s">
        <v>26</v>
      </c>
      <c r="G1122">
        <v>936</v>
      </c>
      <c r="H1122">
        <v>2148</v>
      </c>
      <c r="I1122">
        <v>12406.56516</v>
      </c>
      <c r="J1122" t="b">
        <v>1</v>
      </c>
      <c r="K1122">
        <v>17</v>
      </c>
      <c r="L1122" t="b">
        <v>0</v>
      </c>
      <c r="M1122">
        <v>32737.842049999999</v>
      </c>
      <c r="N1122">
        <v>2498.5</v>
      </c>
      <c r="O1122">
        <v>6403</v>
      </c>
      <c r="P1122" t="s">
        <v>36</v>
      </c>
      <c r="Q1122">
        <v>0.37462477486491896</v>
      </c>
      <c r="R1122" t="s">
        <v>37</v>
      </c>
      <c r="S1122">
        <v>13.254877307692308</v>
      </c>
      <c r="T1122">
        <v>0.39020771513353114</v>
      </c>
      <c r="U1122" t="s">
        <v>34</v>
      </c>
      <c r="V1122">
        <v>0</v>
      </c>
    </row>
    <row r="1123" spans="1:22" x14ac:dyDescent="0.3">
      <c r="A1123" s="1">
        <v>45005</v>
      </c>
      <c r="B1123" t="s">
        <v>30</v>
      </c>
      <c r="C1123" t="s">
        <v>41</v>
      </c>
      <c r="D1123" t="s">
        <v>46</v>
      </c>
      <c r="E1123" t="s">
        <v>25</v>
      </c>
      <c r="F1123" t="s">
        <v>26</v>
      </c>
      <c r="G1123">
        <v>605</v>
      </c>
      <c r="H1123">
        <v>2849</v>
      </c>
      <c r="I1123">
        <v>6107.0985250000003</v>
      </c>
      <c r="J1123" t="b">
        <v>1</v>
      </c>
      <c r="K1123">
        <v>1</v>
      </c>
      <c r="L1123" t="b">
        <v>0</v>
      </c>
      <c r="M1123">
        <v>15591.627630000001</v>
      </c>
      <c r="N1123">
        <v>2003.5</v>
      </c>
      <c r="O1123">
        <v>7649</v>
      </c>
      <c r="P1123" t="s">
        <v>27</v>
      </c>
      <c r="Q1123">
        <v>0.30197154978787122</v>
      </c>
      <c r="R1123" t="s">
        <v>40</v>
      </c>
      <c r="S1123">
        <v>10.094377727272727</v>
      </c>
      <c r="T1123">
        <v>0.26192966400836709</v>
      </c>
      <c r="U1123" t="s">
        <v>34</v>
      </c>
      <c r="V1123">
        <v>0</v>
      </c>
    </row>
    <row r="1124" spans="1:22" x14ac:dyDescent="0.3">
      <c r="A1124" s="1">
        <v>45004</v>
      </c>
      <c r="B1124" t="s">
        <v>42</v>
      </c>
      <c r="C1124" t="s">
        <v>31</v>
      </c>
      <c r="D1124" t="s">
        <v>32</v>
      </c>
      <c r="E1124" t="s">
        <v>25</v>
      </c>
      <c r="F1124" t="s">
        <v>26</v>
      </c>
      <c r="G1124">
        <v>433</v>
      </c>
      <c r="H1124">
        <v>1158</v>
      </c>
      <c r="I1124">
        <v>2436.2463809999999</v>
      </c>
      <c r="J1124" t="b">
        <v>1</v>
      </c>
      <c r="K1124">
        <v>7</v>
      </c>
      <c r="L1124" t="b">
        <v>0</v>
      </c>
      <c r="M1124">
        <v>60208.119149999999</v>
      </c>
      <c r="N1124">
        <v>1582.5</v>
      </c>
      <c r="O1124">
        <v>8112</v>
      </c>
      <c r="P1124" t="s">
        <v>36</v>
      </c>
      <c r="Q1124">
        <v>0.27361769352290677</v>
      </c>
      <c r="R1124" t="s">
        <v>40</v>
      </c>
      <c r="S1124">
        <v>5.6264350600461892</v>
      </c>
      <c r="T1124">
        <v>0.19508136094674555</v>
      </c>
      <c r="U1124" t="s">
        <v>34</v>
      </c>
      <c r="V1124">
        <v>0</v>
      </c>
    </row>
    <row r="1125" spans="1:22" x14ac:dyDescent="0.3">
      <c r="A1125" s="1">
        <v>45003</v>
      </c>
      <c r="B1125" t="s">
        <v>42</v>
      </c>
      <c r="C1125" t="s">
        <v>41</v>
      </c>
      <c r="D1125" t="s">
        <v>32</v>
      </c>
      <c r="E1125" t="s">
        <v>33</v>
      </c>
      <c r="F1125" t="s">
        <v>26</v>
      </c>
      <c r="G1125">
        <v>952</v>
      </c>
      <c r="H1125">
        <v>2007</v>
      </c>
      <c r="I1125">
        <v>13541.48157</v>
      </c>
      <c r="J1125" t="b">
        <v>1</v>
      </c>
      <c r="K1125">
        <v>1</v>
      </c>
      <c r="L1125" t="b">
        <v>0</v>
      </c>
      <c r="M1125">
        <v>63516.873330000002</v>
      </c>
      <c r="N1125">
        <v>1685.5</v>
      </c>
      <c r="O1125">
        <v>6781</v>
      </c>
      <c r="P1125" t="s">
        <v>27</v>
      </c>
      <c r="Q1125">
        <v>0.56481756155443485</v>
      </c>
      <c r="R1125" t="s">
        <v>40</v>
      </c>
      <c r="S1125">
        <v>14.224245346638655</v>
      </c>
      <c r="T1125">
        <v>0.2485621589736027</v>
      </c>
      <c r="U1125" t="s">
        <v>34</v>
      </c>
      <c r="V1125">
        <v>0</v>
      </c>
    </row>
    <row r="1126" spans="1:22" x14ac:dyDescent="0.3">
      <c r="A1126" s="1">
        <v>45002</v>
      </c>
      <c r="B1126" t="s">
        <v>38</v>
      </c>
      <c r="C1126" t="s">
        <v>23</v>
      </c>
      <c r="D1126" t="s">
        <v>35</v>
      </c>
      <c r="E1126" t="s">
        <v>45</v>
      </c>
      <c r="F1126" t="s">
        <v>26</v>
      </c>
      <c r="G1126">
        <v>62</v>
      </c>
      <c r="H1126">
        <v>1364</v>
      </c>
      <c r="I1126">
        <v>6950.1707100000003</v>
      </c>
      <c r="J1126" t="b">
        <v>0</v>
      </c>
      <c r="K1126">
        <v>15</v>
      </c>
      <c r="L1126" t="b">
        <v>0</v>
      </c>
      <c r="M1126">
        <v>1415.6135409999999</v>
      </c>
      <c r="N1126">
        <v>2852.5</v>
      </c>
      <c r="O1126">
        <v>5733</v>
      </c>
      <c r="P1126" t="s">
        <v>36</v>
      </c>
      <c r="Q1126">
        <v>2.1735319894829096E-2</v>
      </c>
      <c r="R1126" t="s">
        <v>37</v>
      </c>
      <c r="S1126">
        <v>112.09952758064517</v>
      </c>
      <c r="T1126">
        <v>0.49755799755799757</v>
      </c>
      <c r="U1126" t="s">
        <v>29</v>
      </c>
      <c r="V1126">
        <v>0</v>
      </c>
    </row>
    <row r="1127" spans="1:22" x14ac:dyDescent="0.3">
      <c r="A1127" s="1">
        <v>45001</v>
      </c>
      <c r="B1127" t="s">
        <v>22</v>
      </c>
      <c r="C1127" t="s">
        <v>31</v>
      </c>
      <c r="D1127" t="s">
        <v>32</v>
      </c>
      <c r="E1127" t="s">
        <v>25</v>
      </c>
      <c r="F1127" t="s">
        <v>26</v>
      </c>
      <c r="G1127">
        <v>511</v>
      </c>
      <c r="H1127">
        <v>4341</v>
      </c>
      <c r="I1127">
        <v>3687.9983670000001</v>
      </c>
      <c r="J1127" t="b">
        <v>1</v>
      </c>
      <c r="K1127">
        <v>3</v>
      </c>
      <c r="L1127" t="b">
        <v>0</v>
      </c>
      <c r="M1127">
        <v>64833.194210000001</v>
      </c>
      <c r="N1127">
        <v>4088</v>
      </c>
      <c r="O1127">
        <v>8045</v>
      </c>
      <c r="P1127" t="s">
        <v>27</v>
      </c>
      <c r="Q1127">
        <v>0.125</v>
      </c>
      <c r="R1127" t="s">
        <v>40</v>
      </c>
      <c r="S1127">
        <v>7.2172179393346383</v>
      </c>
      <c r="T1127">
        <v>0.50814170292106897</v>
      </c>
      <c r="U1127" t="s">
        <v>29</v>
      </c>
      <c r="V1127">
        <v>0</v>
      </c>
    </row>
    <row r="1128" spans="1:22" x14ac:dyDescent="0.3">
      <c r="A1128" s="1">
        <v>45000</v>
      </c>
      <c r="B1128" t="s">
        <v>38</v>
      </c>
      <c r="C1128" t="s">
        <v>31</v>
      </c>
      <c r="D1128" t="s">
        <v>32</v>
      </c>
      <c r="E1128" t="s">
        <v>25</v>
      </c>
      <c r="F1128" t="s">
        <v>26</v>
      </c>
      <c r="G1128">
        <v>575</v>
      </c>
      <c r="H1128">
        <v>3835</v>
      </c>
      <c r="I1128">
        <v>9512.0214980000001</v>
      </c>
      <c r="J1128" t="b">
        <v>1</v>
      </c>
      <c r="K1128">
        <v>11</v>
      </c>
      <c r="L1128" t="b">
        <v>1</v>
      </c>
      <c r="M1128">
        <v>38046.45865</v>
      </c>
      <c r="N1128">
        <v>2591.5</v>
      </c>
      <c r="O1128">
        <v>6641</v>
      </c>
      <c r="P1128" t="s">
        <v>27</v>
      </c>
      <c r="Q1128">
        <v>0.22187922052865136</v>
      </c>
      <c r="R1128" t="s">
        <v>28</v>
      </c>
      <c r="S1128">
        <v>16.54264608347826</v>
      </c>
      <c r="T1128">
        <v>0.3902273753952718</v>
      </c>
      <c r="U1128" t="s">
        <v>34</v>
      </c>
      <c r="V1128">
        <v>1</v>
      </c>
    </row>
    <row r="1129" spans="1:22" x14ac:dyDescent="0.3">
      <c r="A1129" s="1">
        <v>44999</v>
      </c>
      <c r="B1129" t="s">
        <v>22</v>
      </c>
      <c r="C1129" t="s">
        <v>31</v>
      </c>
      <c r="D1129" t="s">
        <v>35</v>
      </c>
      <c r="E1129" t="s">
        <v>45</v>
      </c>
      <c r="F1129" t="s">
        <v>43</v>
      </c>
      <c r="G1129">
        <v>298</v>
      </c>
      <c r="H1129">
        <v>1348</v>
      </c>
      <c r="I1129">
        <v>5078.2793359999996</v>
      </c>
      <c r="J1129" t="b">
        <v>1</v>
      </c>
      <c r="K1129">
        <v>6</v>
      </c>
      <c r="L1129" t="b">
        <v>0</v>
      </c>
      <c r="M1129">
        <v>22310.177080000001</v>
      </c>
      <c r="N1129">
        <v>1413</v>
      </c>
      <c r="O1129">
        <v>9321</v>
      </c>
      <c r="P1129" t="s">
        <v>36</v>
      </c>
      <c r="Q1129">
        <v>0.21089879688605803</v>
      </c>
      <c r="R1129" t="s">
        <v>40</v>
      </c>
      <c r="S1129">
        <v>17.041205825503354</v>
      </c>
      <c r="T1129">
        <v>0.15159317669777922</v>
      </c>
      <c r="U1129" t="s">
        <v>34</v>
      </c>
      <c r="V1129">
        <v>0</v>
      </c>
    </row>
    <row r="1130" spans="1:22" x14ac:dyDescent="0.3">
      <c r="A1130" s="1">
        <v>44998</v>
      </c>
      <c r="B1130" t="s">
        <v>38</v>
      </c>
      <c r="C1130" t="s">
        <v>44</v>
      </c>
      <c r="D1130" t="s">
        <v>46</v>
      </c>
      <c r="E1130" t="s">
        <v>45</v>
      </c>
      <c r="F1130" t="s">
        <v>26</v>
      </c>
      <c r="G1130">
        <v>834</v>
      </c>
      <c r="H1130">
        <v>1478</v>
      </c>
      <c r="I1130">
        <v>9825.0131130000009</v>
      </c>
      <c r="J1130" t="b">
        <v>1</v>
      </c>
      <c r="K1130">
        <v>24</v>
      </c>
      <c r="L1130" t="b">
        <v>0</v>
      </c>
      <c r="M1130">
        <v>81110.090160000007</v>
      </c>
      <c r="N1130">
        <v>3222</v>
      </c>
      <c r="O1130">
        <v>6937</v>
      </c>
      <c r="P1130" t="s">
        <v>36</v>
      </c>
      <c r="Q1130">
        <v>0.25884543761638734</v>
      </c>
      <c r="R1130" t="s">
        <v>37</v>
      </c>
      <c r="S1130">
        <v>11.78059126258993</v>
      </c>
      <c r="T1130">
        <v>0.46446590745278937</v>
      </c>
      <c r="U1130" t="s">
        <v>29</v>
      </c>
      <c r="V1130">
        <v>0</v>
      </c>
    </row>
    <row r="1131" spans="1:22" x14ac:dyDescent="0.3">
      <c r="A1131" s="1">
        <v>44997</v>
      </c>
      <c r="B1131" t="s">
        <v>38</v>
      </c>
      <c r="C1131" t="s">
        <v>44</v>
      </c>
      <c r="D1131" t="s">
        <v>32</v>
      </c>
      <c r="E1131" t="s">
        <v>33</v>
      </c>
      <c r="F1131" t="s">
        <v>26</v>
      </c>
      <c r="G1131">
        <v>437</v>
      </c>
      <c r="H1131">
        <v>4966</v>
      </c>
      <c r="I1131">
        <v>11263.331969999999</v>
      </c>
      <c r="J1131" t="b">
        <v>1</v>
      </c>
      <c r="K1131">
        <v>11</v>
      </c>
      <c r="L1131" t="b">
        <v>0</v>
      </c>
      <c r="M1131">
        <v>32759.083780000001</v>
      </c>
      <c r="N1131">
        <v>3973.5</v>
      </c>
      <c r="O1131">
        <v>6483</v>
      </c>
      <c r="P1131" t="s">
        <v>27</v>
      </c>
      <c r="Q1131">
        <v>0.10997860827985403</v>
      </c>
      <c r="R1131" t="s">
        <v>28</v>
      </c>
      <c r="S1131">
        <v>25.774215034324943</v>
      </c>
      <c r="T1131">
        <v>0.6129106894956039</v>
      </c>
      <c r="U1131" t="s">
        <v>29</v>
      </c>
      <c r="V1131">
        <v>0</v>
      </c>
    </row>
    <row r="1132" spans="1:22" x14ac:dyDescent="0.3">
      <c r="A1132" s="1">
        <v>44996</v>
      </c>
      <c r="B1132" t="s">
        <v>38</v>
      </c>
      <c r="C1132" t="s">
        <v>44</v>
      </c>
      <c r="D1132" t="s">
        <v>32</v>
      </c>
      <c r="E1132" t="s">
        <v>33</v>
      </c>
      <c r="F1132" t="s">
        <v>26</v>
      </c>
      <c r="G1132">
        <v>195</v>
      </c>
      <c r="H1132">
        <v>2981</v>
      </c>
      <c r="I1132">
        <v>2371.7498300000002</v>
      </c>
      <c r="J1132" t="b">
        <v>1</v>
      </c>
      <c r="K1132">
        <v>16</v>
      </c>
      <c r="L1132" t="b">
        <v>0</v>
      </c>
      <c r="M1132">
        <v>20270.415969999998</v>
      </c>
      <c r="N1132">
        <v>2379</v>
      </c>
      <c r="O1132">
        <v>8898</v>
      </c>
      <c r="P1132" t="s">
        <v>27</v>
      </c>
      <c r="Q1132">
        <v>8.1967213114754092E-2</v>
      </c>
      <c r="R1132" t="s">
        <v>37</v>
      </c>
      <c r="S1132">
        <v>12.162819641025642</v>
      </c>
      <c r="T1132">
        <v>0.26736345246122722</v>
      </c>
      <c r="U1132" t="s">
        <v>34</v>
      </c>
      <c r="V1132">
        <v>0</v>
      </c>
    </row>
    <row r="1133" spans="1:22" x14ac:dyDescent="0.3">
      <c r="A1133" s="1">
        <v>44995</v>
      </c>
      <c r="B1133" t="s">
        <v>42</v>
      </c>
      <c r="C1133" t="s">
        <v>41</v>
      </c>
      <c r="D1133" t="s">
        <v>24</v>
      </c>
      <c r="E1133" t="s">
        <v>45</v>
      </c>
      <c r="F1133" t="s">
        <v>26</v>
      </c>
      <c r="G1133">
        <v>803</v>
      </c>
      <c r="H1133">
        <v>1777</v>
      </c>
      <c r="I1133">
        <v>6817.2449589999997</v>
      </c>
      <c r="J1133" t="b">
        <v>1</v>
      </c>
      <c r="K1133">
        <v>15</v>
      </c>
      <c r="L1133" t="b">
        <v>0</v>
      </c>
      <c r="M1133">
        <v>156478.3284</v>
      </c>
      <c r="N1133">
        <v>1487.5</v>
      </c>
      <c r="O1133">
        <v>9122</v>
      </c>
      <c r="P1133" t="s">
        <v>27</v>
      </c>
      <c r="Q1133">
        <v>0.53983193277310926</v>
      </c>
      <c r="R1133" t="s">
        <v>37</v>
      </c>
      <c r="S1133">
        <v>8.4897197496886676</v>
      </c>
      <c r="T1133">
        <v>0.16306730980048234</v>
      </c>
      <c r="U1133" t="s">
        <v>34</v>
      </c>
      <c r="V1133">
        <v>0</v>
      </c>
    </row>
    <row r="1134" spans="1:22" x14ac:dyDescent="0.3">
      <c r="A1134" s="1">
        <v>44994</v>
      </c>
      <c r="B1134" t="s">
        <v>22</v>
      </c>
      <c r="C1134" t="s">
        <v>23</v>
      </c>
      <c r="D1134" t="s">
        <v>24</v>
      </c>
      <c r="E1134" t="s">
        <v>25</v>
      </c>
      <c r="F1134" t="s">
        <v>26</v>
      </c>
      <c r="G1134">
        <v>497</v>
      </c>
      <c r="H1134">
        <v>1198</v>
      </c>
      <c r="I1134">
        <v>13704.64243</v>
      </c>
      <c r="J1134" t="b">
        <v>1</v>
      </c>
      <c r="K1134">
        <v>28</v>
      </c>
      <c r="L1134" t="b">
        <v>0</v>
      </c>
      <c r="M1134">
        <v>79376.301680000004</v>
      </c>
      <c r="N1134">
        <v>1099.5</v>
      </c>
      <c r="O1134">
        <v>5639</v>
      </c>
      <c r="P1134" t="s">
        <v>27</v>
      </c>
      <c r="Q1134">
        <v>0.45202364711232379</v>
      </c>
      <c r="R1134" t="s">
        <v>37</v>
      </c>
      <c r="S1134">
        <v>27.574733259557345</v>
      </c>
      <c r="T1134">
        <v>0.19498137967724774</v>
      </c>
      <c r="U1134" t="s">
        <v>34</v>
      </c>
      <c r="V1134">
        <v>0</v>
      </c>
    </row>
    <row r="1135" spans="1:22" x14ac:dyDescent="0.3">
      <c r="A1135" s="1">
        <v>44993</v>
      </c>
      <c r="B1135" t="s">
        <v>42</v>
      </c>
      <c r="C1135" t="s">
        <v>31</v>
      </c>
      <c r="D1135" t="s">
        <v>32</v>
      </c>
      <c r="E1135" t="s">
        <v>25</v>
      </c>
      <c r="F1135" t="s">
        <v>26</v>
      </c>
      <c r="G1135">
        <v>620</v>
      </c>
      <c r="H1135">
        <v>1001</v>
      </c>
      <c r="I1135">
        <v>4373.5890129999998</v>
      </c>
      <c r="J1135" t="b">
        <v>1</v>
      </c>
      <c r="K1135">
        <v>23</v>
      </c>
      <c r="L1135" t="b">
        <v>1</v>
      </c>
      <c r="M1135">
        <v>38840.93275</v>
      </c>
      <c r="N1135">
        <v>1849</v>
      </c>
      <c r="O1135">
        <v>8449</v>
      </c>
      <c r="P1135" t="s">
        <v>36</v>
      </c>
      <c r="Q1135">
        <v>0.33531638723634399</v>
      </c>
      <c r="R1135" t="s">
        <v>37</v>
      </c>
      <c r="S1135">
        <v>7.0541758274193542</v>
      </c>
      <c r="T1135">
        <v>0.21884246656409043</v>
      </c>
      <c r="U1135" t="s">
        <v>34</v>
      </c>
      <c r="V1135">
        <v>1</v>
      </c>
    </row>
    <row r="1136" spans="1:22" x14ac:dyDescent="0.3">
      <c r="A1136" s="1">
        <v>44992</v>
      </c>
      <c r="B1136" t="s">
        <v>38</v>
      </c>
      <c r="C1136" t="s">
        <v>31</v>
      </c>
      <c r="D1136" t="s">
        <v>35</v>
      </c>
      <c r="E1136" t="s">
        <v>33</v>
      </c>
      <c r="F1136" t="s">
        <v>43</v>
      </c>
      <c r="G1136">
        <v>759</v>
      </c>
      <c r="H1136">
        <v>2697</v>
      </c>
      <c r="I1136">
        <v>10170.563550000001</v>
      </c>
      <c r="J1136" t="b">
        <v>1</v>
      </c>
      <c r="K1136">
        <v>23</v>
      </c>
      <c r="L1136" t="b">
        <v>0</v>
      </c>
      <c r="M1136">
        <v>33737.426370000001</v>
      </c>
      <c r="N1136">
        <v>2546.5</v>
      </c>
      <c r="O1136">
        <v>6405</v>
      </c>
      <c r="P1136" t="s">
        <v>27</v>
      </c>
      <c r="Q1136">
        <v>0.29805615550755937</v>
      </c>
      <c r="R1136" t="s">
        <v>37</v>
      </c>
      <c r="S1136">
        <v>13.399951976284585</v>
      </c>
      <c r="T1136">
        <v>0.39758001561280248</v>
      </c>
      <c r="U1136" t="s">
        <v>34</v>
      </c>
      <c r="V1136">
        <v>0</v>
      </c>
    </row>
    <row r="1137" spans="1:22" x14ac:dyDescent="0.3">
      <c r="A1137" s="1">
        <v>44991</v>
      </c>
      <c r="B1137" t="s">
        <v>30</v>
      </c>
      <c r="C1137" t="s">
        <v>44</v>
      </c>
      <c r="D1137" t="s">
        <v>24</v>
      </c>
      <c r="E1137" t="s">
        <v>45</v>
      </c>
      <c r="F1137" t="s">
        <v>26</v>
      </c>
      <c r="G1137">
        <v>439</v>
      </c>
      <c r="H1137">
        <v>2396</v>
      </c>
      <c r="I1137">
        <v>8100.8459300000004</v>
      </c>
      <c r="J1137" t="b">
        <v>1</v>
      </c>
      <c r="K1137">
        <v>25</v>
      </c>
      <c r="L1137" t="b">
        <v>0</v>
      </c>
      <c r="M1137">
        <v>34654.353280000003</v>
      </c>
      <c r="N1137">
        <v>2949</v>
      </c>
      <c r="O1137">
        <v>9211</v>
      </c>
      <c r="P1137" t="s">
        <v>36</v>
      </c>
      <c r="Q1137">
        <v>0.14886402170227195</v>
      </c>
      <c r="R1137" t="s">
        <v>37</v>
      </c>
      <c r="S1137">
        <v>18.452952004555808</v>
      </c>
      <c r="T1137">
        <v>0.32016067745087395</v>
      </c>
      <c r="U1137" t="s">
        <v>34</v>
      </c>
      <c r="V1137">
        <v>0</v>
      </c>
    </row>
    <row r="1138" spans="1:22" x14ac:dyDescent="0.3">
      <c r="A1138" s="1">
        <v>44990</v>
      </c>
      <c r="B1138" t="s">
        <v>22</v>
      </c>
      <c r="C1138" t="s">
        <v>31</v>
      </c>
      <c r="D1138" t="s">
        <v>46</v>
      </c>
      <c r="E1138" t="s">
        <v>25</v>
      </c>
      <c r="F1138" t="s">
        <v>43</v>
      </c>
      <c r="G1138">
        <v>581</v>
      </c>
      <c r="H1138">
        <v>3502</v>
      </c>
      <c r="I1138">
        <v>7583.8657629999998</v>
      </c>
      <c r="J1138" t="b">
        <v>1</v>
      </c>
      <c r="K1138">
        <v>16</v>
      </c>
      <c r="L1138" t="b">
        <v>1</v>
      </c>
      <c r="M1138">
        <v>109301.5362</v>
      </c>
      <c r="N1138">
        <v>2891.5</v>
      </c>
      <c r="O1138">
        <v>5936</v>
      </c>
      <c r="P1138" t="s">
        <v>27</v>
      </c>
      <c r="Q1138">
        <v>0.2009337713989279</v>
      </c>
      <c r="R1138" t="s">
        <v>37</v>
      </c>
      <c r="S1138">
        <v>13.053125237521515</v>
      </c>
      <c r="T1138">
        <v>0.48711253369272239</v>
      </c>
      <c r="U1138" t="s">
        <v>29</v>
      </c>
      <c r="V1138">
        <v>1</v>
      </c>
    </row>
    <row r="1139" spans="1:22" x14ac:dyDescent="0.3">
      <c r="A1139" s="1">
        <v>44989</v>
      </c>
      <c r="B1139" t="s">
        <v>22</v>
      </c>
      <c r="C1139" t="s">
        <v>31</v>
      </c>
      <c r="D1139" t="s">
        <v>35</v>
      </c>
      <c r="E1139" t="s">
        <v>33</v>
      </c>
      <c r="F1139" t="s">
        <v>26</v>
      </c>
      <c r="G1139">
        <v>54</v>
      </c>
      <c r="H1139">
        <v>2281</v>
      </c>
      <c r="I1139">
        <v>8983.0099460000001</v>
      </c>
      <c r="J1139" t="b">
        <v>1</v>
      </c>
      <c r="K1139">
        <v>24</v>
      </c>
      <c r="L1139" t="b">
        <v>0</v>
      </c>
      <c r="M1139">
        <v>9526.2075559999994</v>
      </c>
      <c r="N1139">
        <v>1338.5</v>
      </c>
      <c r="O1139">
        <v>5633</v>
      </c>
      <c r="P1139" t="s">
        <v>27</v>
      </c>
      <c r="Q1139">
        <v>4.0343668285394096E-2</v>
      </c>
      <c r="R1139" t="s">
        <v>37</v>
      </c>
      <c r="S1139">
        <v>166.35203603703704</v>
      </c>
      <c r="T1139">
        <v>0.23761761050949759</v>
      </c>
      <c r="U1139" t="s">
        <v>34</v>
      </c>
      <c r="V1139">
        <v>0</v>
      </c>
    </row>
    <row r="1140" spans="1:22" x14ac:dyDescent="0.3">
      <c r="A1140" s="1">
        <v>44988</v>
      </c>
      <c r="B1140" t="s">
        <v>30</v>
      </c>
      <c r="C1140" t="s">
        <v>31</v>
      </c>
      <c r="D1140" t="s">
        <v>46</v>
      </c>
      <c r="E1140" t="s">
        <v>33</v>
      </c>
      <c r="F1140" t="s">
        <v>26</v>
      </c>
      <c r="G1140">
        <v>864</v>
      </c>
      <c r="H1140">
        <v>396</v>
      </c>
      <c r="I1140">
        <v>1996.6414090000001</v>
      </c>
      <c r="J1140" t="b">
        <v>1</v>
      </c>
      <c r="K1140">
        <v>29</v>
      </c>
      <c r="L1140" t="b">
        <v>1</v>
      </c>
      <c r="M1140">
        <v>128014.80560000001</v>
      </c>
      <c r="N1140">
        <v>1008.5</v>
      </c>
      <c r="O1140">
        <v>7915</v>
      </c>
      <c r="P1140" t="s">
        <v>36</v>
      </c>
      <c r="Q1140">
        <v>0.85671789786812103</v>
      </c>
      <c r="R1140" t="s">
        <v>37</v>
      </c>
      <c r="S1140">
        <v>2.3109275567129632</v>
      </c>
      <c r="T1140">
        <v>0.12741629816803537</v>
      </c>
      <c r="U1140" t="s">
        <v>34</v>
      </c>
      <c r="V1140">
        <v>1</v>
      </c>
    </row>
    <row r="1141" spans="1:22" x14ac:dyDescent="0.3">
      <c r="A1141" s="1">
        <v>44987</v>
      </c>
      <c r="B1141" t="s">
        <v>30</v>
      </c>
      <c r="C1141" t="s">
        <v>31</v>
      </c>
      <c r="D1141" t="s">
        <v>32</v>
      </c>
      <c r="E1141" t="s">
        <v>33</v>
      </c>
      <c r="F1141" t="s">
        <v>26</v>
      </c>
      <c r="G1141">
        <v>75</v>
      </c>
      <c r="H1141">
        <v>1621</v>
      </c>
      <c r="I1141">
        <v>3694.7472050000001</v>
      </c>
      <c r="J1141" t="b">
        <v>1</v>
      </c>
      <c r="K1141">
        <v>19</v>
      </c>
      <c r="L1141" t="b">
        <v>0</v>
      </c>
      <c r="M1141">
        <v>8089.309714</v>
      </c>
      <c r="N1141">
        <v>2937</v>
      </c>
      <c r="O1141">
        <v>9577</v>
      </c>
      <c r="P1141" t="s">
        <v>36</v>
      </c>
      <c r="Q1141">
        <v>2.5536261491317672E-2</v>
      </c>
      <c r="R1141" t="s">
        <v>37</v>
      </c>
      <c r="S1141">
        <v>49.263296066666669</v>
      </c>
      <c r="T1141">
        <v>0.30667223556437295</v>
      </c>
      <c r="U1141" t="s">
        <v>34</v>
      </c>
      <c r="V1141">
        <v>0</v>
      </c>
    </row>
    <row r="1142" spans="1:22" x14ac:dyDescent="0.3">
      <c r="A1142" s="1">
        <v>44986</v>
      </c>
      <c r="B1142" t="s">
        <v>22</v>
      </c>
      <c r="C1142" t="s">
        <v>31</v>
      </c>
      <c r="D1142" t="s">
        <v>46</v>
      </c>
      <c r="E1142" t="s">
        <v>25</v>
      </c>
      <c r="F1142" t="s">
        <v>43</v>
      </c>
      <c r="G1142">
        <v>979</v>
      </c>
      <c r="H1142">
        <v>4253</v>
      </c>
      <c r="I1142">
        <v>14986.217720000001</v>
      </c>
      <c r="J1142" t="b">
        <v>1</v>
      </c>
      <c r="K1142">
        <v>1</v>
      </c>
      <c r="L1142" t="b">
        <v>0</v>
      </c>
      <c r="M1142">
        <v>26297.197169999999</v>
      </c>
      <c r="N1142">
        <v>3169</v>
      </c>
      <c r="O1142">
        <v>9462</v>
      </c>
      <c r="P1142" t="s">
        <v>27</v>
      </c>
      <c r="Q1142">
        <v>0.30893026191227518</v>
      </c>
      <c r="R1142" t="s">
        <v>40</v>
      </c>
      <c r="S1142">
        <v>15.307678978549541</v>
      </c>
      <c r="T1142">
        <v>0.33491862185584442</v>
      </c>
      <c r="U1142" t="s">
        <v>34</v>
      </c>
      <c r="V1142">
        <v>0</v>
      </c>
    </row>
    <row r="1143" spans="1:22" x14ac:dyDescent="0.3">
      <c r="A1143" s="1">
        <v>44985</v>
      </c>
      <c r="B1143" t="s">
        <v>30</v>
      </c>
      <c r="C1143" t="s">
        <v>23</v>
      </c>
      <c r="D1143" t="s">
        <v>24</v>
      </c>
      <c r="E1143" t="s">
        <v>33</v>
      </c>
      <c r="F1143" t="s">
        <v>26</v>
      </c>
      <c r="G1143">
        <v>266</v>
      </c>
      <c r="H1143">
        <v>2085</v>
      </c>
      <c r="I1143">
        <v>6764.153104</v>
      </c>
      <c r="J1143" t="b">
        <v>1</v>
      </c>
      <c r="K1143">
        <v>12</v>
      </c>
      <c r="L1143" t="b">
        <v>0</v>
      </c>
      <c r="M1143">
        <v>33309.521520000002</v>
      </c>
      <c r="N1143">
        <v>1106</v>
      </c>
      <c r="O1143">
        <v>7603</v>
      </c>
      <c r="P1143" t="s">
        <v>27</v>
      </c>
      <c r="Q1143">
        <v>0.24050632911392406</v>
      </c>
      <c r="R1143" t="s">
        <v>28</v>
      </c>
      <c r="S1143">
        <v>25.429147007518797</v>
      </c>
      <c r="T1143">
        <v>0.14546889385768774</v>
      </c>
      <c r="U1143" t="s">
        <v>34</v>
      </c>
      <c r="V1143">
        <v>0</v>
      </c>
    </row>
    <row r="1144" spans="1:22" x14ac:dyDescent="0.3">
      <c r="A1144" s="1">
        <v>44984</v>
      </c>
      <c r="B1144" t="s">
        <v>22</v>
      </c>
      <c r="C1144" t="s">
        <v>31</v>
      </c>
      <c r="D1144" t="s">
        <v>35</v>
      </c>
      <c r="E1144" t="s">
        <v>33</v>
      </c>
      <c r="F1144" t="s">
        <v>26</v>
      </c>
      <c r="G1144">
        <v>456</v>
      </c>
      <c r="H1144">
        <v>127</v>
      </c>
      <c r="I1144">
        <v>4344.1421309999996</v>
      </c>
      <c r="J1144" t="b">
        <v>1</v>
      </c>
      <c r="K1144">
        <v>13</v>
      </c>
      <c r="L1144" t="b">
        <v>0</v>
      </c>
      <c r="M1144">
        <v>71746.949519999995</v>
      </c>
      <c r="N1144">
        <v>1849.5</v>
      </c>
      <c r="O1144">
        <v>6183</v>
      </c>
      <c r="P1144" t="s">
        <v>36</v>
      </c>
      <c r="Q1144">
        <v>0.24655312246553124</v>
      </c>
      <c r="R1144" t="s">
        <v>28</v>
      </c>
      <c r="S1144">
        <v>9.5266274802631568</v>
      </c>
      <c r="T1144">
        <v>0.29912663755458513</v>
      </c>
      <c r="U1144" t="s">
        <v>34</v>
      </c>
      <c r="V1144">
        <v>0</v>
      </c>
    </row>
    <row r="1145" spans="1:22" x14ac:dyDescent="0.3">
      <c r="A1145" s="1">
        <v>44983</v>
      </c>
      <c r="B1145" t="s">
        <v>42</v>
      </c>
      <c r="C1145" t="s">
        <v>44</v>
      </c>
      <c r="D1145" t="s">
        <v>35</v>
      </c>
      <c r="E1145" t="s">
        <v>45</v>
      </c>
      <c r="F1145" t="s">
        <v>26</v>
      </c>
      <c r="G1145">
        <v>866</v>
      </c>
      <c r="H1145">
        <v>3572</v>
      </c>
      <c r="I1145">
        <v>4799.7950490000003</v>
      </c>
      <c r="J1145" t="b">
        <v>1</v>
      </c>
      <c r="K1145">
        <v>23</v>
      </c>
      <c r="L1145" t="b">
        <v>0</v>
      </c>
      <c r="M1145">
        <v>29606.16188</v>
      </c>
      <c r="N1145">
        <v>2649.5</v>
      </c>
      <c r="O1145">
        <v>7274</v>
      </c>
      <c r="P1145" t="s">
        <v>27</v>
      </c>
      <c r="Q1145">
        <v>0.32685412341951314</v>
      </c>
      <c r="R1145" t="s">
        <v>37</v>
      </c>
      <c r="S1145">
        <v>5.5424885092378755</v>
      </c>
      <c r="T1145">
        <v>0.36424250756117682</v>
      </c>
      <c r="U1145" t="s">
        <v>34</v>
      </c>
      <c r="V1145">
        <v>0</v>
      </c>
    </row>
    <row r="1146" spans="1:22" x14ac:dyDescent="0.3">
      <c r="A1146" s="1">
        <v>44982</v>
      </c>
      <c r="B1146" t="s">
        <v>42</v>
      </c>
      <c r="C1146" t="s">
        <v>44</v>
      </c>
      <c r="D1146" t="s">
        <v>24</v>
      </c>
      <c r="E1146" t="s">
        <v>25</v>
      </c>
      <c r="F1146" t="s">
        <v>26</v>
      </c>
      <c r="G1146">
        <v>619</v>
      </c>
      <c r="H1146">
        <v>1727</v>
      </c>
      <c r="I1146">
        <v>7738.2035390000001</v>
      </c>
      <c r="J1146" t="b">
        <v>1</v>
      </c>
      <c r="K1146">
        <v>23</v>
      </c>
      <c r="L1146" t="b">
        <v>0</v>
      </c>
      <c r="M1146">
        <v>12506.068960000001</v>
      </c>
      <c r="N1146">
        <v>2828</v>
      </c>
      <c r="O1146">
        <v>7484</v>
      </c>
      <c r="P1146" t="s">
        <v>36</v>
      </c>
      <c r="Q1146">
        <v>0.21888260254596889</v>
      </c>
      <c r="R1146" t="s">
        <v>37</v>
      </c>
      <c r="S1146">
        <v>12.501136573505654</v>
      </c>
      <c r="T1146">
        <v>0.37787279529663281</v>
      </c>
      <c r="U1146" t="s">
        <v>34</v>
      </c>
      <c r="V1146">
        <v>0</v>
      </c>
    </row>
    <row r="1147" spans="1:22" x14ac:dyDescent="0.3">
      <c r="A1147" s="1">
        <v>44981</v>
      </c>
      <c r="B1147" t="s">
        <v>30</v>
      </c>
      <c r="C1147" t="s">
        <v>41</v>
      </c>
      <c r="D1147" t="s">
        <v>24</v>
      </c>
      <c r="E1147" t="s">
        <v>25</v>
      </c>
      <c r="F1147" t="s">
        <v>26</v>
      </c>
      <c r="G1147">
        <v>758</v>
      </c>
      <c r="H1147">
        <v>3929</v>
      </c>
      <c r="I1147">
        <v>13059.663780000001</v>
      </c>
      <c r="J1147" t="b">
        <v>1</v>
      </c>
      <c r="K1147">
        <v>19</v>
      </c>
      <c r="L1147" t="b">
        <v>0</v>
      </c>
      <c r="M1147">
        <v>19669.641469999999</v>
      </c>
      <c r="N1147">
        <v>3880</v>
      </c>
      <c r="O1147">
        <v>5213</v>
      </c>
      <c r="P1147" t="s">
        <v>27</v>
      </c>
      <c r="Q1147">
        <v>0.19536082474226804</v>
      </c>
      <c r="R1147" t="s">
        <v>37</v>
      </c>
      <c r="S1147">
        <v>17.22910788918206</v>
      </c>
      <c r="T1147">
        <v>0.74429311337042015</v>
      </c>
      <c r="U1147" t="s">
        <v>29</v>
      </c>
      <c r="V1147">
        <v>0</v>
      </c>
    </row>
    <row r="1148" spans="1:22" x14ac:dyDescent="0.3">
      <c r="A1148" s="1">
        <v>44980</v>
      </c>
      <c r="B1148" t="s">
        <v>42</v>
      </c>
      <c r="C1148" t="s">
        <v>44</v>
      </c>
      <c r="D1148" t="s">
        <v>35</v>
      </c>
      <c r="E1148" t="s">
        <v>45</v>
      </c>
      <c r="F1148" t="s">
        <v>26</v>
      </c>
      <c r="G1148">
        <v>55</v>
      </c>
      <c r="H1148">
        <v>3831</v>
      </c>
      <c r="I1148">
        <v>1736.3909530000001</v>
      </c>
      <c r="J1148" t="b">
        <v>1</v>
      </c>
      <c r="K1148">
        <v>19</v>
      </c>
      <c r="L1148" t="b">
        <v>0</v>
      </c>
      <c r="M1148">
        <v>7506.401484</v>
      </c>
      <c r="N1148">
        <v>3589.5</v>
      </c>
      <c r="O1148">
        <v>7752</v>
      </c>
      <c r="P1148" t="s">
        <v>27</v>
      </c>
      <c r="Q1148">
        <v>1.532246831034963E-2</v>
      </c>
      <c r="R1148" t="s">
        <v>37</v>
      </c>
      <c r="S1148">
        <v>31.570744600000001</v>
      </c>
      <c r="T1148">
        <v>0.46304179566563469</v>
      </c>
      <c r="U1148" t="s">
        <v>29</v>
      </c>
      <c r="V1148">
        <v>0</v>
      </c>
    </row>
    <row r="1149" spans="1:22" x14ac:dyDescent="0.3">
      <c r="A1149" s="1">
        <v>44979</v>
      </c>
      <c r="B1149" t="s">
        <v>30</v>
      </c>
      <c r="C1149" t="s">
        <v>23</v>
      </c>
      <c r="D1149" t="s">
        <v>46</v>
      </c>
      <c r="E1149" t="s">
        <v>33</v>
      </c>
      <c r="F1149" t="s">
        <v>43</v>
      </c>
      <c r="G1149">
        <v>109</v>
      </c>
      <c r="H1149">
        <v>3348</v>
      </c>
      <c r="I1149">
        <v>12444.322630000001</v>
      </c>
      <c r="J1149" t="b">
        <v>1</v>
      </c>
      <c r="K1149">
        <v>1</v>
      </c>
      <c r="L1149" t="b">
        <v>0</v>
      </c>
      <c r="M1149">
        <v>15106.96401</v>
      </c>
      <c r="N1149">
        <v>2803.5</v>
      </c>
      <c r="O1149">
        <v>8808</v>
      </c>
      <c r="P1149" t="s">
        <v>27</v>
      </c>
      <c r="Q1149">
        <v>3.8879971464241124E-2</v>
      </c>
      <c r="R1149" t="s">
        <v>40</v>
      </c>
      <c r="S1149">
        <v>114.16809752293578</v>
      </c>
      <c r="T1149">
        <v>0.31829019073569481</v>
      </c>
      <c r="U1149" t="s">
        <v>34</v>
      </c>
      <c r="V1149">
        <v>0</v>
      </c>
    </row>
    <row r="1150" spans="1:22" x14ac:dyDescent="0.3">
      <c r="A1150" s="1">
        <v>44978</v>
      </c>
      <c r="B1150" t="s">
        <v>38</v>
      </c>
      <c r="C1150" t="s">
        <v>44</v>
      </c>
      <c r="D1150" t="s">
        <v>32</v>
      </c>
      <c r="E1150" t="s">
        <v>25</v>
      </c>
      <c r="F1150" t="s">
        <v>26</v>
      </c>
      <c r="G1150">
        <v>724</v>
      </c>
      <c r="H1150">
        <v>2259</v>
      </c>
      <c r="I1150">
        <v>4151.1981079999996</v>
      </c>
      <c r="J1150" t="b">
        <v>1</v>
      </c>
      <c r="K1150">
        <v>10</v>
      </c>
      <c r="L1150" t="b">
        <v>0</v>
      </c>
      <c r="M1150">
        <v>26931.277730000002</v>
      </c>
      <c r="N1150">
        <v>3375</v>
      </c>
      <c r="O1150">
        <v>7558</v>
      </c>
      <c r="P1150" t="s">
        <v>36</v>
      </c>
      <c r="Q1150">
        <v>0.21451851851851853</v>
      </c>
      <c r="R1150" t="s">
        <v>28</v>
      </c>
      <c r="S1150">
        <v>5.7336990441988949</v>
      </c>
      <c r="T1150">
        <v>0.44654670547763958</v>
      </c>
      <c r="U1150" t="s">
        <v>29</v>
      </c>
      <c r="V1150">
        <v>0</v>
      </c>
    </row>
    <row r="1151" spans="1:22" x14ac:dyDescent="0.3">
      <c r="A1151" s="1">
        <v>44977</v>
      </c>
      <c r="B1151" t="s">
        <v>30</v>
      </c>
      <c r="C1151" t="s">
        <v>31</v>
      </c>
      <c r="D1151" t="s">
        <v>35</v>
      </c>
      <c r="E1151" t="s">
        <v>45</v>
      </c>
      <c r="F1151" t="s">
        <v>26</v>
      </c>
      <c r="G1151">
        <v>294</v>
      </c>
      <c r="H1151">
        <v>4491</v>
      </c>
      <c r="I1151">
        <v>12198.216759999999</v>
      </c>
      <c r="J1151" t="b">
        <v>1</v>
      </c>
      <c r="K1151">
        <v>3</v>
      </c>
      <c r="L1151" t="b">
        <v>1</v>
      </c>
      <c r="M1151">
        <v>8644.8362890000008</v>
      </c>
      <c r="N1151">
        <v>3585.5</v>
      </c>
      <c r="O1151">
        <v>9189</v>
      </c>
      <c r="P1151" t="s">
        <v>27</v>
      </c>
      <c r="Q1151">
        <v>8.1996932087574956E-2</v>
      </c>
      <c r="R1151" t="s">
        <v>40</v>
      </c>
      <c r="S1151">
        <v>41.490533197278907</v>
      </c>
      <c r="T1151">
        <v>0.39019479812819674</v>
      </c>
      <c r="U1151" t="s">
        <v>34</v>
      </c>
      <c r="V1151">
        <v>1</v>
      </c>
    </row>
    <row r="1152" spans="1:22" x14ac:dyDescent="0.3">
      <c r="A1152" s="1">
        <v>44976</v>
      </c>
      <c r="B1152" t="s">
        <v>38</v>
      </c>
      <c r="C1152" t="s">
        <v>23</v>
      </c>
      <c r="D1152" t="s">
        <v>24</v>
      </c>
      <c r="E1152" t="s">
        <v>33</v>
      </c>
      <c r="F1152" t="s">
        <v>26</v>
      </c>
      <c r="G1152">
        <v>464</v>
      </c>
      <c r="H1152">
        <v>2680</v>
      </c>
      <c r="I1152">
        <v>4350.5851709999997</v>
      </c>
      <c r="J1152" t="b">
        <v>1</v>
      </c>
      <c r="K1152">
        <v>20</v>
      </c>
      <c r="L1152" t="b">
        <v>0</v>
      </c>
      <c r="M1152">
        <v>45331.479339999998</v>
      </c>
      <c r="N1152">
        <v>2468</v>
      </c>
      <c r="O1152">
        <v>7314</v>
      </c>
      <c r="P1152" t="s">
        <v>27</v>
      </c>
      <c r="Q1152">
        <v>0.18800648298217179</v>
      </c>
      <c r="R1152" t="s">
        <v>37</v>
      </c>
      <c r="S1152">
        <v>9.3762611443965511</v>
      </c>
      <c r="T1152">
        <v>0.33743505605687724</v>
      </c>
      <c r="U1152" t="s">
        <v>34</v>
      </c>
      <c r="V1152">
        <v>0</v>
      </c>
    </row>
    <row r="1153" spans="1:22" x14ac:dyDescent="0.3">
      <c r="A1153" s="1">
        <v>44975</v>
      </c>
      <c r="B1153" t="s">
        <v>38</v>
      </c>
      <c r="C1153" t="s">
        <v>44</v>
      </c>
      <c r="D1153" t="s">
        <v>32</v>
      </c>
      <c r="E1153" t="s">
        <v>45</v>
      </c>
      <c r="F1153" t="s">
        <v>43</v>
      </c>
      <c r="G1153">
        <v>802</v>
      </c>
      <c r="H1153">
        <v>2256</v>
      </c>
      <c r="I1153">
        <v>11589.255510000001</v>
      </c>
      <c r="J1153" t="b">
        <v>1</v>
      </c>
      <c r="K1153">
        <v>21</v>
      </c>
      <c r="L1153" t="b">
        <v>0</v>
      </c>
      <c r="M1153">
        <v>21994.896700000001</v>
      </c>
      <c r="N1153">
        <v>3348</v>
      </c>
      <c r="O1153">
        <v>5901</v>
      </c>
      <c r="P1153" t="s">
        <v>36</v>
      </c>
      <c r="Q1153">
        <v>0.23954599761051373</v>
      </c>
      <c r="R1153" t="s">
        <v>37</v>
      </c>
      <c r="S1153">
        <v>14.450443279301746</v>
      </c>
      <c r="T1153">
        <v>0.56736146415861721</v>
      </c>
      <c r="U1153" t="s">
        <v>29</v>
      </c>
      <c r="V1153">
        <v>0</v>
      </c>
    </row>
    <row r="1154" spans="1:22" x14ac:dyDescent="0.3">
      <c r="A1154" s="1">
        <v>44974</v>
      </c>
      <c r="B1154" t="s">
        <v>30</v>
      </c>
      <c r="C1154" t="s">
        <v>44</v>
      </c>
      <c r="D1154" t="s">
        <v>35</v>
      </c>
      <c r="E1154" t="s">
        <v>33</v>
      </c>
      <c r="F1154" t="s">
        <v>43</v>
      </c>
      <c r="G1154">
        <v>318</v>
      </c>
      <c r="H1154">
        <v>4440</v>
      </c>
      <c r="I1154">
        <v>7743.4508599999999</v>
      </c>
      <c r="J1154" t="b">
        <v>1</v>
      </c>
      <c r="K1154">
        <v>15</v>
      </c>
      <c r="L1154" t="b">
        <v>0</v>
      </c>
      <c r="M1154">
        <v>58218.818979999996</v>
      </c>
      <c r="N1154">
        <v>4642</v>
      </c>
      <c r="O1154">
        <v>5938</v>
      </c>
      <c r="P1154" t="s">
        <v>36</v>
      </c>
      <c r="Q1154">
        <v>6.8504954760878936E-2</v>
      </c>
      <c r="R1154" t="s">
        <v>37</v>
      </c>
      <c r="S1154">
        <v>24.350474402515722</v>
      </c>
      <c r="T1154">
        <v>0.78174469518356349</v>
      </c>
      <c r="U1154" t="s">
        <v>29</v>
      </c>
      <c r="V1154">
        <v>0</v>
      </c>
    </row>
    <row r="1155" spans="1:22" x14ac:dyDescent="0.3">
      <c r="A1155" s="1">
        <v>44973</v>
      </c>
      <c r="B1155" t="s">
        <v>42</v>
      </c>
      <c r="C1155" t="s">
        <v>44</v>
      </c>
      <c r="D1155" t="s">
        <v>24</v>
      </c>
      <c r="E1155" t="s">
        <v>45</v>
      </c>
      <c r="F1155" t="s">
        <v>26</v>
      </c>
      <c r="G1155">
        <v>844</v>
      </c>
      <c r="H1155">
        <v>4844</v>
      </c>
      <c r="I1155">
        <v>1061.9755660000001</v>
      </c>
      <c r="J1155" t="b">
        <v>1</v>
      </c>
      <c r="K1155">
        <v>12</v>
      </c>
      <c r="L1155" t="b">
        <v>0</v>
      </c>
      <c r="M1155">
        <v>33068.51627</v>
      </c>
      <c r="N1155">
        <v>3157</v>
      </c>
      <c r="O1155">
        <v>7842</v>
      </c>
      <c r="P1155" t="s">
        <v>27</v>
      </c>
      <c r="Q1155">
        <v>0.26734241368387712</v>
      </c>
      <c r="R1155" t="s">
        <v>28</v>
      </c>
      <c r="S1155">
        <v>1.2582648886255925</v>
      </c>
      <c r="T1155">
        <v>0.40257587350165774</v>
      </c>
      <c r="U1155" t="s">
        <v>29</v>
      </c>
      <c r="V1155">
        <v>0</v>
      </c>
    </row>
    <row r="1156" spans="1:22" x14ac:dyDescent="0.3">
      <c r="A1156" s="1">
        <v>44972</v>
      </c>
      <c r="B1156" t="s">
        <v>42</v>
      </c>
      <c r="C1156" t="s">
        <v>23</v>
      </c>
      <c r="D1156" t="s">
        <v>24</v>
      </c>
      <c r="E1156" t="s">
        <v>25</v>
      </c>
      <c r="F1156" t="s">
        <v>43</v>
      </c>
      <c r="G1156">
        <v>558</v>
      </c>
      <c r="H1156">
        <v>1470</v>
      </c>
      <c r="I1156">
        <v>6860.4107670000003</v>
      </c>
      <c r="J1156" t="b">
        <v>1</v>
      </c>
      <c r="K1156">
        <v>9</v>
      </c>
      <c r="L1156" t="b">
        <v>0</v>
      </c>
      <c r="M1156">
        <v>52367.432249999998</v>
      </c>
      <c r="N1156">
        <v>2131.5</v>
      </c>
      <c r="O1156">
        <v>6468</v>
      </c>
      <c r="P1156" t="s">
        <v>36</v>
      </c>
      <c r="Q1156">
        <v>0.26178747361013371</v>
      </c>
      <c r="R1156" t="s">
        <v>28</v>
      </c>
      <c r="S1156">
        <v>12.294642951612904</v>
      </c>
      <c r="T1156">
        <v>0.32954545454545453</v>
      </c>
      <c r="U1156" t="s">
        <v>34</v>
      </c>
      <c r="V1156">
        <v>0</v>
      </c>
    </row>
    <row r="1157" spans="1:22" x14ac:dyDescent="0.3">
      <c r="A1157" s="1">
        <v>44971</v>
      </c>
      <c r="B1157" t="s">
        <v>42</v>
      </c>
      <c r="C1157" t="s">
        <v>31</v>
      </c>
      <c r="D1157" t="s">
        <v>32</v>
      </c>
      <c r="E1157" t="s">
        <v>25</v>
      </c>
      <c r="F1157" t="s">
        <v>26</v>
      </c>
      <c r="G1157">
        <v>871</v>
      </c>
      <c r="H1157">
        <v>2793</v>
      </c>
      <c r="I1157">
        <v>9611.9008859999994</v>
      </c>
      <c r="J1157" t="b">
        <v>1</v>
      </c>
      <c r="K1157">
        <v>6</v>
      </c>
      <c r="L1157" t="b">
        <v>0</v>
      </c>
      <c r="M1157">
        <v>22888.534350000002</v>
      </c>
      <c r="N1157">
        <v>2643.5</v>
      </c>
      <c r="O1157">
        <v>7320</v>
      </c>
      <c r="P1157" t="s">
        <v>27</v>
      </c>
      <c r="Q1157">
        <v>0.32948742197843767</v>
      </c>
      <c r="R1157" t="s">
        <v>40</v>
      </c>
      <c r="S1157">
        <v>11.035477481056256</v>
      </c>
      <c r="T1157">
        <v>0.36113387978142075</v>
      </c>
      <c r="U1157" t="s">
        <v>34</v>
      </c>
      <c r="V1157">
        <v>0</v>
      </c>
    </row>
    <row r="1158" spans="1:22" x14ac:dyDescent="0.3">
      <c r="A1158" s="1">
        <v>44970</v>
      </c>
      <c r="B1158" t="s">
        <v>42</v>
      </c>
      <c r="C1158" t="s">
        <v>31</v>
      </c>
      <c r="D1158" t="s">
        <v>32</v>
      </c>
      <c r="E1158" t="s">
        <v>33</v>
      </c>
      <c r="F1158" t="s">
        <v>26</v>
      </c>
      <c r="G1158">
        <v>704</v>
      </c>
      <c r="H1158">
        <v>2494</v>
      </c>
      <c r="I1158">
        <v>13546.27464</v>
      </c>
      <c r="J1158" t="b">
        <v>1</v>
      </c>
      <c r="K1158">
        <v>29</v>
      </c>
      <c r="L1158" t="b">
        <v>0</v>
      </c>
      <c r="M1158">
        <v>46617.833010000002</v>
      </c>
      <c r="N1158">
        <v>2490.5</v>
      </c>
      <c r="O1158">
        <v>9570</v>
      </c>
      <c r="P1158" t="s">
        <v>27</v>
      </c>
      <c r="Q1158">
        <v>0.28267416181489663</v>
      </c>
      <c r="R1158" t="s">
        <v>37</v>
      </c>
      <c r="S1158">
        <v>19.241867386363637</v>
      </c>
      <c r="T1158">
        <v>0.26024033437826544</v>
      </c>
      <c r="U1158" t="s">
        <v>34</v>
      </c>
      <c r="V1158">
        <v>0</v>
      </c>
    </row>
    <row r="1159" spans="1:22" x14ac:dyDescent="0.3">
      <c r="A1159" s="1">
        <v>44969</v>
      </c>
      <c r="B1159" t="s">
        <v>38</v>
      </c>
      <c r="C1159" t="s">
        <v>31</v>
      </c>
      <c r="D1159" t="s">
        <v>32</v>
      </c>
      <c r="E1159" t="s">
        <v>33</v>
      </c>
      <c r="F1159" t="s">
        <v>26</v>
      </c>
      <c r="G1159">
        <v>494</v>
      </c>
      <c r="H1159">
        <v>2487</v>
      </c>
      <c r="I1159">
        <v>4876.1008099999999</v>
      </c>
      <c r="J1159" t="b">
        <v>1</v>
      </c>
      <c r="K1159">
        <v>7</v>
      </c>
      <c r="L1159" t="b">
        <v>0</v>
      </c>
      <c r="M1159">
        <v>55620.792009999997</v>
      </c>
      <c r="N1159">
        <v>1830</v>
      </c>
      <c r="O1159">
        <v>5325</v>
      </c>
      <c r="P1159" t="s">
        <v>27</v>
      </c>
      <c r="Q1159">
        <v>0.26994535519125684</v>
      </c>
      <c r="R1159" t="s">
        <v>40</v>
      </c>
      <c r="S1159">
        <v>9.8706494129554656</v>
      </c>
      <c r="T1159">
        <v>0.3436619718309859</v>
      </c>
      <c r="U1159" t="s">
        <v>34</v>
      </c>
      <c r="V1159">
        <v>0</v>
      </c>
    </row>
    <row r="1160" spans="1:22" x14ac:dyDescent="0.3">
      <c r="A1160" s="1">
        <v>44968</v>
      </c>
      <c r="B1160" t="s">
        <v>30</v>
      </c>
      <c r="C1160" t="s">
        <v>23</v>
      </c>
      <c r="D1160" t="s">
        <v>46</v>
      </c>
      <c r="E1160" t="s">
        <v>45</v>
      </c>
      <c r="F1160" t="s">
        <v>26</v>
      </c>
      <c r="G1160">
        <v>121</v>
      </c>
      <c r="H1160">
        <v>1173</v>
      </c>
      <c r="I1160">
        <v>9506.0417109999999</v>
      </c>
      <c r="J1160" t="b">
        <v>1</v>
      </c>
      <c r="K1160">
        <v>28</v>
      </c>
      <c r="L1160" t="b">
        <v>0</v>
      </c>
      <c r="M1160">
        <v>14037.34074</v>
      </c>
      <c r="N1160">
        <v>977</v>
      </c>
      <c r="O1160">
        <v>5658</v>
      </c>
      <c r="P1160" t="s">
        <v>27</v>
      </c>
      <c r="Q1160">
        <v>0.12384851586489252</v>
      </c>
      <c r="R1160" t="s">
        <v>37</v>
      </c>
      <c r="S1160">
        <v>78.562328190082638</v>
      </c>
      <c r="T1160">
        <v>0.17267585719335454</v>
      </c>
      <c r="U1160" t="s">
        <v>34</v>
      </c>
      <c r="V1160">
        <v>0</v>
      </c>
    </row>
    <row r="1161" spans="1:22" x14ac:dyDescent="0.3">
      <c r="A1161" s="1">
        <v>44967</v>
      </c>
      <c r="B1161" t="s">
        <v>30</v>
      </c>
      <c r="C1161" t="s">
        <v>41</v>
      </c>
      <c r="D1161" t="s">
        <v>24</v>
      </c>
      <c r="E1161" t="s">
        <v>25</v>
      </c>
      <c r="F1161" t="s">
        <v>26</v>
      </c>
      <c r="G1161">
        <v>288</v>
      </c>
      <c r="H1161">
        <v>781</v>
      </c>
      <c r="I1161">
        <v>4909.7958170000002</v>
      </c>
      <c r="J1161" t="b">
        <v>1</v>
      </c>
      <c r="K1161">
        <v>3</v>
      </c>
      <c r="L1161" t="b">
        <v>0</v>
      </c>
      <c r="M1161">
        <v>41079.275529999999</v>
      </c>
      <c r="N1161">
        <v>2705.5</v>
      </c>
      <c r="O1161">
        <v>9383</v>
      </c>
      <c r="P1161" t="s">
        <v>36</v>
      </c>
      <c r="Q1161">
        <v>0.10644982443171318</v>
      </c>
      <c r="R1161" t="s">
        <v>40</v>
      </c>
      <c r="S1161">
        <v>17.04790214236111</v>
      </c>
      <c r="T1161">
        <v>0.28834061600767347</v>
      </c>
      <c r="U1161" t="s">
        <v>34</v>
      </c>
      <c r="V1161">
        <v>0</v>
      </c>
    </row>
    <row r="1162" spans="1:22" x14ac:dyDescent="0.3">
      <c r="A1162" s="1">
        <v>44966</v>
      </c>
      <c r="B1162" t="s">
        <v>30</v>
      </c>
      <c r="C1162" t="s">
        <v>31</v>
      </c>
      <c r="D1162" t="s">
        <v>35</v>
      </c>
      <c r="E1162" t="s">
        <v>33</v>
      </c>
      <c r="F1162" t="s">
        <v>26</v>
      </c>
      <c r="G1162">
        <v>575</v>
      </c>
      <c r="H1162">
        <v>4630</v>
      </c>
      <c r="I1162">
        <v>2871.530021</v>
      </c>
      <c r="J1162" t="b">
        <v>1</v>
      </c>
      <c r="K1162">
        <v>22</v>
      </c>
      <c r="L1162" t="b">
        <v>0</v>
      </c>
      <c r="M1162">
        <v>30668.977459999998</v>
      </c>
      <c r="N1162">
        <v>4752.5</v>
      </c>
      <c r="O1162">
        <v>5109</v>
      </c>
      <c r="P1162" t="s">
        <v>36</v>
      </c>
      <c r="Q1162">
        <v>0.12098895318253551</v>
      </c>
      <c r="R1162" t="s">
        <v>37</v>
      </c>
      <c r="S1162">
        <v>4.9939652539130437</v>
      </c>
      <c r="T1162">
        <v>0.93022117831278139</v>
      </c>
      <c r="U1162" t="s">
        <v>47</v>
      </c>
      <c r="V1162">
        <v>0</v>
      </c>
    </row>
    <row r="1163" spans="1:22" x14ac:dyDescent="0.3">
      <c r="A1163" s="1">
        <v>44965</v>
      </c>
      <c r="B1163" t="s">
        <v>22</v>
      </c>
      <c r="C1163" t="s">
        <v>41</v>
      </c>
      <c r="D1163" t="s">
        <v>35</v>
      </c>
      <c r="E1163" t="s">
        <v>33</v>
      </c>
      <c r="F1163" t="s">
        <v>26</v>
      </c>
      <c r="G1163">
        <v>415</v>
      </c>
      <c r="H1163">
        <v>4875</v>
      </c>
      <c r="I1163">
        <v>7098.5967149999997</v>
      </c>
      <c r="J1163" t="b">
        <v>1</v>
      </c>
      <c r="K1163">
        <v>13</v>
      </c>
      <c r="L1163" t="b">
        <v>0</v>
      </c>
      <c r="M1163">
        <v>28570.519929999999</v>
      </c>
      <c r="N1163">
        <v>4067</v>
      </c>
      <c r="O1163">
        <v>5144</v>
      </c>
      <c r="P1163" t="s">
        <v>27</v>
      </c>
      <c r="Q1163">
        <v>0.10204081632653061</v>
      </c>
      <c r="R1163" t="s">
        <v>28</v>
      </c>
      <c r="S1163">
        <v>17.105052325301205</v>
      </c>
      <c r="T1163">
        <v>0.79062986003110425</v>
      </c>
      <c r="U1163" t="s">
        <v>29</v>
      </c>
      <c r="V1163">
        <v>0</v>
      </c>
    </row>
    <row r="1164" spans="1:22" x14ac:dyDescent="0.3">
      <c r="A1164" s="1">
        <v>44964</v>
      </c>
      <c r="B1164" t="s">
        <v>22</v>
      </c>
      <c r="C1164" t="s">
        <v>23</v>
      </c>
      <c r="D1164" t="s">
        <v>35</v>
      </c>
      <c r="E1164" t="s">
        <v>45</v>
      </c>
      <c r="F1164" t="s">
        <v>39</v>
      </c>
      <c r="G1164">
        <v>212</v>
      </c>
      <c r="H1164">
        <v>3259</v>
      </c>
      <c r="I1164">
        <v>4820.3465040000001</v>
      </c>
      <c r="J1164" t="b">
        <v>1</v>
      </c>
      <c r="K1164">
        <v>20</v>
      </c>
      <c r="L1164" t="b">
        <v>0</v>
      </c>
      <c r="M1164">
        <v>35631.80012</v>
      </c>
      <c r="N1164">
        <v>3173</v>
      </c>
      <c r="O1164">
        <v>6186</v>
      </c>
      <c r="P1164" t="s">
        <v>27</v>
      </c>
      <c r="Q1164">
        <v>6.6813740939174276E-2</v>
      </c>
      <c r="R1164" t="s">
        <v>37</v>
      </c>
      <c r="S1164">
        <v>22.737483509433964</v>
      </c>
      <c r="T1164">
        <v>0.51293242806336892</v>
      </c>
      <c r="U1164" t="s">
        <v>29</v>
      </c>
      <c r="V1164">
        <v>0</v>
      </c>
    </row>
    <row r="1165" spans="1:22" x14ac:dyDescent="0.3">
      <c r="A1165" s="1">
        <v>44963</v>
      </c>
      <c r="B1165" t="s">
        <v>42</v>
      </c>
      <c r="C1165" t="s">
        <v>41</v>
      </c>
      <c r="D1165" t="s">
        <v>46</v>
      </c>
      <c r="E1165" t="s">
        <v>33</v>
      </c>
      <c r="F1165" t="s">
        <v>26</v>
      </c>
      <c r="G1165">
        <v>823</v>
      </c>
      <c r="H1165">
        <v>3087</v>
      </c>
      <c r="I1165">
        <v>8532.7025649999996</v>
      </c>
      <c r="J1165" t="b">
        <v>1</v>
      </c>
      <c r="K1165">
        <v>3</v>
      </c>
      <c r="L1165" t="b">
        <v>0</v>
      </c>
      <c r="M1165">
        <v>87098.747969999997</v>
      </c>
      <c r="N1165">
        <v>2534.5</v>
      </c>
      <c r="O1165">
        <v>9371</v>
      </c>
      <c r="P1165" t="s">
        <v>27</v>
      </c>
      <c r="Q1165">
        <v>0.324718879463405</v>
      </c>
      <c r="R1165" t="s">
        <v>40</v>
      </c>
      <c r="S1165">
        <v>10.367803845686513</v>
      </c>
      <c r="T1165">
        <v>0.27046206381389393</v>
      </c>
      <c r="U1165" t="s">
        <v>34</v>
      </c>
      <c r="V1165">
        <v>0</v>
      </c>
    </row>
    <row r="1166" spans="1:22" x14ac:dyDescent="0.3">
      <c r="A1166" s="1">
        <v>44962</v>
      </c>
      <c r="B1166" t="s">
        <v>22</v>
      </c>
      <c r="C1166" t="s">
        <v>23</v>
      </c>
      <c r="D1166" t="s">
        <v>32</v>
      </c>
      <c r="E1166" t="s">
        <v>45</v>
      </c>
      <c r="F1166" t="s">
        <v>26</v>
      </c>
      <c r="G1166">
        <v>478</v>
      </c>
      <c r="H1166">
        <v>1982</v>
      </c>
      <c r="I1166">
        <v>6969.471348</v>
      </c>
      <c r="J1166" t="b">
        <v>1</v>
      </c>
      <c r="K1166">
        <v>23</v>
      </c>
      <c r="L1166" t="b">
        <v>0</v>
      </c>
      <c r="M1166">
        <v>32538.86983</v>
      </c>
      <c r="N1166">
        <v>3245</v>
      </c>
      <c r="O1166">
        <v>7687</v>
      </c>
      <c r="P1166" t="s">
        <v>36</v>
      </c>
      <c r="Q1166">
        <v>0.14730354391371339</v>
      </c>
      <c r="R1166" t="s">
        <v>37</v>
      </c>
      <c r="S1166">
        <v>14.5804839916318</v>
      </c>
      <c r="T1166">
        <v>0.42214127748146218</v>
      </c>
      <c r="U1166" t="s">
        <v>29</v>
      </c>
      <c r="V1166">
        <v>0</v>
      </c>
    </row>
    <row r="1167" spans="1:22" x14ac:dyDescent="0.3">
      <c r="A1167" s="1">
        <v>44961</v>
      </c>
      <c r="B1167" t="s">
        <v>38</v>
      </c>
      <c r="C1167" t="s">
        <v>44</v>
      </c>
      <c r="D1167" t="s">
        <v>46</v>
      </c>
      <c r="E1167" t="s">
        <v>33</v>
      </c>
      <c r="F1167" t="s">
        <v>26</v>
      </c>
      <c r="G1167">
        <v>639</v>
      </c>
      <c r="H1167">
        <v>4508</v>
      </c>
      <c r="I1167">
        <v>1264.436612</v>
      </c>
      <c r="J1167" t="b">
        <v>1</v>
      </c>
      <c r="K1167">
        <v>27</v>
      </c>
      <c r="L1167" t="b">
        <v>0</v>
      </c>
      <c r="M1167">
        <v>99669.685190000004</v>
      </c>
      <c r="N1167">
        <v>3274</v>
      </c>
      <c r="O1167">
        <v>7360</v>
      </c>
      <c r="P1167" t="s">
        <v>27</v>
      </c>
      <c r="Q1167">
        <v>0.19517409896151497</v>
      </c>
      <c r="R1167" t="s">
        <v>37</v>
      </c>
      <c r="S1167">
        <v>1.9787740406885759</v>
      </c>
      <c r="T1167">
        <v>0.44483695652173916</v>
      </c>
      <c r="U1167" t="s">
        <v>29</v>
      </c>
      <c r="V1167">
        <v>0</v>
      </c>
    </row>
    <row r="1168" spans="1:22" x14ac:dyDescent="0.3">
      <c r="A1168" s="1">
        <v>44960</v>
      </c>
      <c r="B1168" t="s">
        <v>38</v>
      </c>
      <c r="C1168" t="s">
        <v>41</v>
      </c>
      <c r="D1168" t="s">
        <v>35</v>
      </c>
      <c r="E1168" t="s">
        <v>25</v>
      </c>
      <c r="F1168" t="s">
        <v>43</v>
      </c>
      <c r="G1168">
        <v>545</v>
      </c>
      <c r="H1168">
        <v>2040</v>
      </c>
      <c r="I1168">
        <v>9960.901355</v>
      </c>
      <c r="J1168" t="b">
        <v>1</v>
      </c>
      <c r="K1168">
        <v>9</v>
      </c>
      <c r="L1168" t="b">
        <v>0</v>
      </c>
      <c r="M1168">
        <v>15285.749970000001</v>
      </c>
      <c r="N1168">
        <v>2718</v>
      </c>
      <c r="O1168">
        <v>9549</v>
      </c>
      <c r="P1168" t="s">
        <v>36</v>
      </c>
      <c r="Q1168">
        <v>0.20051508462104489</v>
      </c>
      <c r="R1168" t="s">
        <v>28</v>
      </c>
      <c r="S1168">
        <v>18.276883220183485</v>
      </c>
      <c r="T1168">
        <v>0.28463713477851083</v>
      </c>
      <c r="U1168" t="s">
        <v>34</v>
      </c>
      <c r="V1168">
        <v>0</v>
      </c>
    </row>
    <row r="1169" spans="1:22" x14ac:dyDescent="0.3">
      <c r="A1169" s="1">
        <v>44959</v>
      </c>
      <c r="B1169" t="s">
        <v>42</v>
      </c>
      <c r="C1169" t="s">
        <v>41</v>
      </c>
      <c r="D1169" t="s">
        <v>46</v>
      </c>
      <c r="E1169" t="s">
        <v>25</v>
      </c>
      <c r="F1169" t="s">
        <v>26</v>
      </c>
      <c r="G1169">
        <v>898</v>
      </c>
      <c r="H1169">
        <v>3396</v>
      </c>
      <c r="I1169">
        <v>2306.894092</v>
      </c>
      <c r="J1169" t="b">
        <v>1</v>
      </c>
      <c r="K1169">
        <v>17</v>
      </c>
      <c r="L1169" t="b">
        <v>1</v>
      </c>
      <c r="M1169">
        <v>150585.0453</v>
      </c>
      <c r="N1169">
        <v>3515</v>
      </c>
      <c r="O1169">
        <v>8014</v>
      </c>
      <c r="P1169" t="s">
        <v>36</v>
      </c>
      <c r="Q1169">
        <v>0.25547652916073971</v>
      </c>
      <c r="R1169" t="s">
        <v>37</v>
      </c>
      <c r="S1169">
        <v>2.5689243786191538</v>
      </c>
      <c r="T1169">
        <v>0.43860743698527577</v>
      </c>
      <c r="U1169" t="s">
        <v>29</v>
      </c>
      <c r="V1169">
        <v>1</v>
      </c>
    </row>
    <row r="1170" spans="1:22" x14ac:dyDescent="0.3">
      <c r="A1170" s="1">
        <v>44958</v>
      </c>
      <c r="B1170" t="s">
        <v>22</v>
      </c>
      <c r="C1170" t="s">
        <v>23</v>
      </c>
      <c r="D1170" t="s">
        <v>32</v>
      </c>
      <c r="E1170" t="s">
        <v>25</v>
      </c>
      <c r="F1170" t="s">
        <v>26</v>
      </c>
      <c r="G1170">
        <v>215</v>
      </c>
      <c r="H1170">
        <v>3634</v>
      </c>
      <c r="I1170">
        <v>13979.919309999999</v>
      </c>
      <c r="J1170" t="b">
        <v>1</v>
      </c>
      <c r="K1170">
        <v>16</v>
      </c>
      <c r="L1170" t="b">
        <v>0</v>
      </c>
      <c r="M1170">
        <v>18054.18924</v>
      </c>
      <c r="N1170">
        <v>3731.5</v>
      </c>
      <c r="O1170">
        <v>8913</v>
      </c>
      <c r="P1170" t="s">
        <v>36</v>
      </c>
      <c r="Q1170">
        <v>5.7617580061637412E-2</v>
      </c>
      <c r="R1170" t="s">
        <v>37</v>
      </c>
      <c r="S1170">
        <v>65.022880511627903</v>
      </c>
      <c r="T1170">
        <v>0.41865813979580391</v>
      </c>
      <c r="U1170" t="s">
        <v>29</v>
      </c>
      <c r="V1170">
        <v>0</v>
      </c>
    </row>
    <row r="1171" spans="1:22" x14ac:dyDescent="0.3">
      <c r="A1171" s="1">
        <v>44957</v>
      </c>
      <c r="B1171" t="s">
        <v>22</v>
      </c>
      <c r="C1171" t="s">
        <v>31</v>
      </c>
      <c r="D1171" t="s">
        <v>32</v>
      </c>
      <c r="E1171" t="s">
        <v>33</v>
      </c>
      <c r="F1171" t="s">
        <v>43</v>
      </c>
      <c r="G1171">
        <v>706</v>
      </c>
      <c r="H1171">
        <v>3829</v>
      </c>
      <c r="I1171">
        <v>4798.4508720000003</v>
      </c>
      <c r="J1171" t="b">
        <v>1</v>
      </c>
      <c r="K1171">
        <v>16</v>
      </c>
      <c r="L1171" t="b">
        <v>0</v>
      </c>
      <c r="M1171">
        <v>107181.2167</v>
      </c>
      <c r="N1171">
        <v>2209.5</v>
      </c>
      <c r="O1171">
        <v>5376</v>
      </c>
      <c r="P1171" t="s">
        <v>27</v>
      </c>
      <c r="Q1171">
        <v>0.31952930527268614</v>
      </c>
      <c r="R1171" t="s">
        <v>37</v>
      </c>
      <c r="S1171">
        <v>6.7966726232294619</v>
      </c>
      <c r="T1171">
        <v>0.41099330357142855</v>
      </c>
      <c r="U1171" t="s">
        <v>29</v>
      </c>
      <c r="V1171">
        <v>0</v>
      </c>
    </row>
    <row r="1172" spans="1:22" x14ac:dyDescent="0.3">
      <c r="A1172" s="1">
        <v>44956</v>
      </c>
      <c r="B1172" t="s">
        <v>42</v>
      </c>
      <c r="C1172" t="s">
        <v>31</v>
      </c>
      <c r="D1172" t="s">
        <v>35</v>
      </c>
      <c r="E1172" t="s">
        <v>33</v>
      </c>
      <c r="F1172" t="s">
        <v>39</v>
      </c>
      <c r="G1172">
        <v>702</v>
      </c>
      <c r="H1172">
        <v>590</v>
      </c>
      <c r="I1172">
        <v>7014.3882979999998</v>
      </c>
      <c r="J1172" t="b">
        <v>1</v>
      </c>
      <c r="K1172">
        <v>5</v>
      </c>
      <c r="L1172" t="b">
        <v>0</v>
      </c>
      <c r="M1172">
        <v>97066.756460000004</v>
      </c>
      <c r="N1172">
        <v>935.5</v>
      </c>
      <c r="O1172">
        <v>7247</v>
      </c>
      <c r="P1172" t="s">
        <v>36</v>
      </c>
      <c r="Q1172">
        <v>0.75040085515766974</v>
      </c>
      <c r="R1172" t="s">
        <v>40</v>
      </c>
      <c r="S1172">
        <v>9.9920061225071226</v>
      </c>
      <c r="T1172">
        <v>0.12908789844073409</v>
      </c>
      <c r="U1172" t="s">
        <v>34</v>
      </c>
      <c r="V1172">
        <v>0</v>
      </c>
    </row>
    <row r="1173" spans="1:22" x14ac:dyDescent="0.3">
      <c r="A1173" s="1">
        <v>44955</v>
      </c>
      <c r="B1173" t="s">
        <v>42</v>
      </c>
      <c r="C1173" t="s">
        <v>44</v>
      </c>
      <c r="D1173" t="s">
        <v>24</v>
      </c>
      <c r="E1173" t="s">
        <v>25</v>
      </c>
      <c r="F1173" t="s">
        <v>43</v>
      </c>
      <c r="G1173">
        <v>651</v>
      </c>
      <c r="H1173">
        <v>1281</v>
      </c>
      <c r="I1173">
        <v>892.67643820000001</v>
      </c>
      <c r="J1173" t="b">
        <v>1</v>
      </c>
      <c r="K1173">
        <v>15</v>
      </c>
      <c r="L1173" t="b">
        <v>0</v>
      </c>
      <c r="M1173">
        <v>98065.851280000003</v>
      </c>
      <c r="N1173">
        <v>1378</v>
      </c>
      <c r="O1173">
        <v>7343</v>
      </c>
      <c r="P1173" t="s">
        <v>36</v>
      </c>
      <c r="Q1173">
        <v>0.47242380261248185</v>
      </c>
      <c r="R1173" t="s">
        <v>37</v>
      </c>
      <c r="S1173">
        <v>1.3712387683563749</v>
      </c>
      <c r="T1173">
        <v>0.18766171864360615</v>
      </c>
      <c r="U1173" t="s">
        <v>34</v>
      </c>
      <c r="V1173">
        <v>0</v>
      </c>
    </row>
    <row r="1174" spans="1:22" x14ac:dyDescent="0.3">
      <c r="A1174" s="1">
        <v>44954</v>
      </c>
      <c r="B1174" t="s">
        <v>38</v>
      </c>
      <c r="C1174" t="s">
        <v>23</v>
      </c>
      <c r="D1174" t="s">
        <v>24</v>
      </c>
      <c r="E1174" t="s">
        <v>45</v>
      </c>
      <c r="F1174" t="s">
        <v>39</v>
      </c>
      <c r="G1174">
        <v>578</v>
      </c>
      <c r="H1174">
        <v>1475</v>
      </c>
      <c r="I1174">
        <v>6947.1010399999996</v>
      </c>
      <c r="J1174" t="b">
        <v>1</v>
      </c>
      <c r="K1174">
        <v>18</v>
      </c>
      <c r="L1174" t="b">
        <v>0</v>
      </c>
      <c r="M1174">
        <v>11760.996359999999</v>
      </c>
      <c r="N1174">
        <v>2494.5</v>
      </c>
      <c r="O1174">
        <v>7743</v>
      </c>
      <c r="P1174" t="s">
        <v>36</v>
      </c>
      <c r="Q1174">
        <v>0.23170976147524555</v>
      </c>
      <c r="R1174" t="s">
        <v>37</v>
      </c>
      <c r="S1174">
        <v>12.019205951557092</v>
      </c>
      <c r="T1174">
        <v>0.32216195273149945</v>
      </c>
      <c r="U1174" t="s">
        <v>34</v>
      </c>
      <c r="V1174">
        <v>0</v>
      </c>
    </row>
    <row r="1175" spans="1:22" x14ac:dyDescent="0.3">
      <c r="A1175" s="1">
        <v>44953</v>
      </c>
      <c r="B1175" t="s">
        <v>38</v>
      </c>
      <c r="C1175" t="s">
        <v>31</v>
      </c>
      <c r="D1175" t="s">
        <v>35</v>
      </c>
      <c r="E1175" t="s">
        <v>33</v>
      </c>
      <c r="F1175" t="s">
        <v>26</v>
      </c>
      <c r="G1175">
        <v>834</v>
      </c>
      <c r="H1175">
        <v>3514</v>
      </c>
      <c r="I1175">
        <v>10859.665419999999</v>
      </c>
      <c r="J1175" t="b">
        <v>1</v>
      </c>
      <c r="K1175">
        <v>11</v>
      </c>
      <c r="L1175" t="b">
        <v>0</v>
      </c>
      <c r="M1175">
        <v>157681.74559999999</v>
      </c>
      <c r="N1175">
        <v>3886.5</v>
      </c>
      <c r="O1175">
        <v>5611</v>
      </c>
      <c r="P1175" t="s">
        <v>36</v>
      </c>
      <c r="Q1175">
        <v>0.21458896179081435</v>
      </c>
      <c r="R1175" t="s">
        <v>28</v>
      </c>
      <c r="S1175">
        <v>13.021181558752996</v>
      </c>
      <c r="T1175">
        <v>0.69265728034218499</v>
      </c>
      <c r="U1175" t="s">
        <v>29</v>
      </c>
      <c r="V1175">
        <v>0</v>
      </c>
    </row>
    <row r="1176" spans="1:22" x14ac:dyDescent="0.3">
      <c r="A1176" s="1">
        <v>44952</v>
      </c>
      <c r="B1176" t="s">
        <v>38</v>
      </c>
      <c r="C1176" t="s">
        <v>44</v>
      </c>
      <c r="D1176" t="s">
        <v>35</v>
      </c>
      <c r="E1176" t="s">
        <v>45</v>
      </c>
      <c r="F1176" t="s">
        <v>43</v>
      </c>
      <c r="G1176">
        <v>736</v>
      </c>
      <c r="H1176">
        <v>4259</v>
      </c>
      <c r="I1176">
        <v>8429.7770199999995</v>
      </c>
      <c r="J1176" t="b">
        <v>1</v>
      </c>
      <c r="K1176">
        <v>15</v>
      </c>
      <c r="L1176" t="b">
        <v>0</v>
      </c>
      <c r="M1176">
        <v>99511.225850000003</v>
      </c>
      <c r="N1176">
        <v>2492.5</v>
      </c>
      <c r="O1176">
        <v>5850</v>
      </c>
      <c r="P1176" t="s">
        <v>27</v>
      </c>
      <c r="Q1176">
        <v>0.29528585757271814</v>
      </c>
      <c r="R1176" t="s">
        <v>37</v>
      </c>
      <c r="S1176">
        <v>11.453501385869565</v>
      </c>
      <c r="T1176">
        <v>0.42606837606837605</v>
      </c>
      <c r="U1176" t="s">
        <v>29</v>
      </c>
      <c r="V1176">
        <v>0</v>
      </c>
    </row>
    <row r="1177" spans="1:22" x14ac:dyDescent="0.3">
      <c r="A1177" s="1">
        <v>44951</v>
      </c>
      <c r="B1177" t="s">
        <v>42</v>
      </c>
      <c r="C1177" t="s">
        <v>41</v>
      </c>
      <c r="D1177" t="s">
        <v>35</v>
      </c>
      <c r="E1177" t="s">
        <v>33</v>
      </c>
      <c r="F1177" t="s">
        <v>26</v>
      </c>
      <c r="G1177">
        <v>751</v>
      </c>
      <c r="H1177">
        <v>726</v>
      </c>
      <c r="I1177">
        <v>3025.2720399999998</v>
      </c>
      <c r="J1177" t="b">
        <v>1</v>
      </c>
      <c r="K1177">
        <v>16</v>
      </c>
      <c r="L1177" t="b">
        <v>0</v>
      </c>
      <c r="M1177">
        <v>24467.975129999999</v>
      </c>
      <c r="N1177">
        <v>2792</v>
      </c>
      <c r="O1177">
        <v>8290</v>
      </c>
      <c r="P1177" t="s">
        <v>36</v>
      </c>
      <c r="Q1177">
        <v>0.26898280802292263</v>
      </c>
      <c r="R1177" t="s">
        <v>37</v>
      </c>
      <c r="S1177">
        <v>4.0283249533954724</v>
      </c>
      <c r="T1177">
        <v>0.33679131483715319</v>
      </c>
      <c r="U1177" t="s">
        <v>34</v>
      </c>
      <c r="V1177">
        <v>0</v>
      </c>
    </row>
    <row r="1178" spans="1:22" x14ac:dyDescent="0.3">
      <c r="A1178" s="1">
        <v>44950</v>
      </c>
      <c r="B1178" t="s">
        <v>42</v>
      </c>
      <c r="C1178" t="s">
        <v>31</v>
      </c>
      <c r="D1178" t="s">
        <v>24</v>
      </c>
      <c r="E1178" t="s">
        <v>25</v>
      </c>
      <c r="F1178" t="s">
        <v>26</v>
      </c>
      <c r="G1178">
        <v>57</v>
      </c>
      <c r="H1178">
        <v>4858</v>
      </c>
      <c r="I1178">
        <v>10972.13343</v>
      </c>
      <c r="J1178" t="b">
        <v>1</v>
      </c>
      <c r="K1178">
        <v>3</v>
      </c>
      <c r="L1178" t="b">
        <v>0</v>
      </c>
      <c r="M1178">
        <v>1957.268928</v>
      </c>
      <c r="N1178">
        <v>3535</v>
      </c>
      <c r="O1178">
        <v>8886</v>
      </c>
      <c r="P1178" t="s">
        <v>27</v>
      </c>
      <c r="Q1178">
        <v>1.6124469589816125E-2</v>
      </c>
      <c r="R1178" t="s">
        <v>40</v>
      </c>
      <c r="S1178">
        <v>192.49356894736843</v>
      </c>
      <c r="T1178">
        <v>0.39781679045689849</v>
      </c>
      <c r="U1178" t="s">
        <v>34</v>
      </c>
      <c r="V1178">
        <v>0</v>
      </c>
    </row>
    <row r="1179" spans="1:22" x14ac:dyDescent="0.3">
      <c r="A1179" s="1">
        <v>44949</v>
      </c>
      <c r="B1179" t="s">
        <v>38</v>
      </c>
      <c r="C1179" t="s">
        <v>41</v>
      </c>
      <c r="D1179" t="s">
        <v>24</v>
      </c>
      <c r="E1179" t="s">
        <v>25</v>
      </c>
      <c r="F1179" t="s">
        <v>43</v>
      </c>
      <c r="G1179">
        <v>257</v>
      </c>
      <c r="H1179">
        <v>2212</v>
      </c>
      <c r="I1179">
        <v>8015.0559499999999</v>
      </c>
      <c r="J1179" t="b">
        <v>1</v>
      </c>
      <c r="K1179">
        <v>22</v>
      </c>
      <c r="L1179" t="b">
        <v>0</v>
      </c>
      <c r="M1179">
        <v>16589.63351</v>
      </c>
      <c r="N1179">
        <v>2936</v>
      </c>
      <c r="O1179">
        <v>7242</v>
      </c>
      <c r="P1179" t="s">
        <v>36</v>
      </c>
      <c r="Q1179">
        <v>8.7534059945504089E-2</v>
      </c>
      <c r="R1179" t="s">
        <v>37</v>
      </c>
      <c r="S1179">
        <v>31.186988132295721</v>
      </c>
      <c r="T1179">
        <v>0.40541286937310134</v>
      </c>
      <c r="U1179" t="s">
        <v>29</v>
      </c>
      <c r="V1179">
        <v>0</v>
      </c>
    </row>
    <row r="1180" spans="1:22" x14ac:dyDescent="0.3">
      <c r="A1180" s="1">
        <v>44948</v>
      </c>
      <c r="B1180" t="s">
        <v>22</v>
      </c>
      <c r="C1180" t="s">
        <v>44</v>
      </c>
      <c r="D1180" t="s">
        <v>35</v>
      </c>
      <c r="E1180" t="s">
        <v>45</v>
      </c>
      <c r="F1180" t="s">
        <v>26</v>
      </c>
      <c r="G1180">
        <v>660</v>
      </c>
      <c r="H1180">
        <v>3660</v>
      </c>
      <c r="I1180">
        <v>4280.2772249999998</v>
      </c>
      <c r="J1180" t="b">
        <v>1</v>
      </c>
      <c r="K1180">
        <v>13</v>
      </c>
      <c r="L1180" t="b">
        <v>0</v>
      </c>
      <c r="M1180">
        <v>130250.07460000001</v>
      </c>
      <c r="N1180">
        <v>3970</v>
      </c>
      <c r="O1180">
        <v>7857</v>
      </c>
      <c r="P1180" t="s">
        <v>36</v>
      </c>
      <c r="Q1180">
        <v>0.16624685138539042</v>
      </c>
      <c r="R1180" t="s">
        <v>28</v>
      </c>
      <c r="S1180">
        <v>6.4852685227272726</v>
      </c>
      <c r="T1180">
        <v>0.50528191421662216</v>
      </c>
      <c r="U1180" t="s">
        <v>29</v>
      </c>
      <c r="V1180">
        <v>0</v>
      </c>
    </row>
    <row r="1181" spans="1:22" x14ac:dyDescent="0.3">
      <c r="A1181" s="1">
        <v>44947</v>
      </c>
      <c r="B1181" t="s">
        <v>38</v>
      </c>
      <c r="C1181" t="s">
        <v>41</v>
      </c>
      <c r="D1181" t="s">
        <v>24</v>
      </c>
      <c r="E1181" t="s">
        <v>25</v>
      </c>
      <c r="F1181" t="s">
        <v>26</v>
      </c>
      <c r="G1181">
        <v>727</v>
      </c>
      <c r="H1181">
        <v>4280</v>
      </c>
      <c r="I1181">
        <v>530.10950519999994</v>
      </c>
      <c r="J1181" t="b">
        <v>1</v>
      </c>
      <c r="K1181">
        <v>3</v>
      </c>
      <c r="L1181" t="b">
        <v>0</v>
      </c>
      <c r="M1181">
        <v>89811.757230000003</v>
      </c>
      <c r="N1181">
        <v>3073.5</v>
      </c>
      <c r="O1181">
        <v>8753</v>
      </c>
      <c r="P1181" t="s">
        <v>27</v>
      </c>
      <c r="Q1181">
        <v>0.23653814869041809</v>
      </c>
      <c r="R1181" t="s">
        <v>40</v>
      </c>
      <c r="S1181">
        <v>0.72917400990371384</v>
      </c>
      <c r="T1181">
        <v>0.35113675311321835</v>
      </c>
      <c r="U1181" t="s">
        <v>34</v>
      </c>
      <c r="V1181">
        <v>0</v>
      </c>
    </row>
    <row r="1182" spans="1:22" x14ac:dyDescent="0.3">
      <c r="A1182" s="1">
        <v>44946</v>
      </c>
      <c r="B1182" t="s">
        <v>30</v>
      </c>
      <c r="C1182" t="s">
        <v>31</v>
      </c>
      <c r="D1182" t="s">
        <v>32</v>
      </c>
      <c r="E1182" t="s">
        <v>45</v>
      </c>
      <c r="F1182" t="s">
        <v>26</v>
      </c>
      <c r="G1182">
        <v>71</v>
      </c>
      <c r="H1182">
        <v>1867</v>
      </c>
      <c r="I1182">
        <v>8754.8200450000004</v>
      </c>
      <c r="J1182" t="b">
        <v>1</v>
      </c>
      <c r="K1182">
        <v>28</v>
      </c>
      <c r="L1182" t="b">
        <v>1</v>
      </c>
      <c r="M1182">
        <v>11382.98702</v>
      </c>
      <c r="N1182">
        <v>2404</v>
      </c>
      <c r="O1182">
        <v>6054</v>
      </c>
      <c r="P1182" t="s">
        <v>36</v>
      </c>
      <c r="Q1182">
        <v>2.9534109816971715E-2</v>
      </c>
      <c r="R1182" t="s">
        <v>37</v>
      </c>
      <c r="S1182">
        <v>123.3073245774648</v>
      </c>
      <c r="T1182">
        <v>0.39709283118599276</v>
      </c>
      <c r="U1182" t="s">
        <v>34</v>
      </c>
      <c r="V1182">
        <v>1</v>
      </c>
    </row>
    <row r="1183" spans="1:22" x14ac:dyDescent="0.3">
      <c r="A1183" s="1">
        <v>44945</v>
      </c>
      <c r="B1183" t="s">
        <v>42</v>
      </c>
      <c r="C1183" t="s">
        <v>41</v>
      </c>
      <c r="D1183" t="s">
        <v>24</v>
      </c>
      <c r="E1183" t="s">
        <v>33</v>
      </c>
      <c r="F1183" t="s">
        <v>26</v>
      </c>
      <c r="G1183">
        <v>258</v>
      </c>
      <c r="H1183">
        <v>2941</v>
      </c>
      <c r="I1183">
        <v>6752.5520310000002</v>
      </c>
      <c r="J1183" t="b">
        <v>1</v>
      </c>
      <c r="K1183">
        <v>24</v>
      </c>
      <c r="L1183" t="b">
        <v>0</v>
      </c>
      <c r="M1183">
        <v>21019.590219999998</v>
      </c>
      <c r="N1183">
        <v>3610.5</v>
      </c>
      <c r="O1183">
        <v>5842</v>
      </c>
      <c r="P1183" t="s">
        <v>36</v>
      </c>
      <c r="Q1183">
        <v>7.1458246780224347E-2</v>
      </c>
      <c r="R1183" t="s">
        <v>37</v>
      </c>
      <c r="S1183">
        <v>26.172682290697676</v>
      </c>
      <c r="T1183">
        <v>0.61802464909277643</v>
      </c>
      <c r="U1183" t="s">
        <v>29</v>
      </c>
      <c r="V1183">
        <v>0</v>
      </c>
    </row>
    <row r="1184" spans="1:22" x14ac:dyDescent="0.3">
      <c r="A1184" s="1">
        <v>44944</v>
      </c>
      <c r="B1184" t="s">
        <v>42</v>
      </c>
      <c r="C1184" t="s">
        <v>44</v>
      </c>
      <c r="D1184" t="s">
        <v>46</v>
      </c>
      <c r="E1184" t="s">
        <v>33</v>
      </c>
      <c r="F1184" t="s">
        <v>26</v>
      </c>
      <c r="G1184">
        <v>384</v>
      </c>
      <c r="H1184">
        <v>4280</v>
      </c>
      <c r="I1184">
        <v>6253.4452190000002</v>
      </c>
      <c r="J1184" t="b">
        <v>1</v>
      </c>
      <c r="K1184">
        <v>17</v>
      </c>
      <c r="L1184" t="b">
        <v>0</v>
      </c>
      <c r="M1184">
        <v>52431.531369999997</v>
      </c>
      <c r="N1184">
        <v>3320.5</v>
      </c>
      <c r="O1184">
        <v>7765</v>
      </c>
      <c r="P1184" t="s">
        <v>27</v>
      </c>
      <c r="Q1184">
        <v>0.11564523415148321</v>
      </c>
      <c r="R1184" t="s">
        <v>37</v>
      </c>
      <c r="S1184">
        <v>16.285013591145834</v>
      </c>
      <c r="T1184">
        <v>0.42762395363811978</v>
      </c>
      <c r="U1184" t="s">
        <v>29</v>
      </c>
      <c r="V1184">
        <v>0</v>
      </c>
    </row>
    <row r="1185" spans="1:22" x14ac:dyDescent="0.3">
      <c r="A1185" s="1">
        <v>44943</v>
      </c>
      <c r="B1185" t="s">
        <v>42</v>
      </c>
      <c r="C1185" t="s">
        <v>44</v>
      </c>
      <c r="D1185" t="s">
        <v>46</v>
      </c>
      <c r="E1185" t="s">
        <v>33</v>
      </c>
      <c r="F1185" t="s">
        <v>39</v>
      </c>
      <c r="G1185">
        <v>454</v>
      </c>
      <c r="H1185">
        <v>2361</v>
      </c>
      <c r="I1185">
        <v>7140.4666100000004</v>
      </c>
      <c r="J1185" t="b">
        <v>1</v>
      </c>
      <c r="K1185">
        <v>26</v>
      </c>
      <c r="L1185" t="b">
        <v>0</v>
      </c>
      <c r="M1185">
        <v>77840.551149999999</v>
      </c>
      <c r="N1185">
        <v>3273.5</v>
      </c>
      <c r="O1185">
        <v>5099</v>
      </c>
      <c r="P1185" t="s">
        <v>36</v>
      </c>
      <c r="Q1185">
        <v>0.1386894760959218</v>
      </c>
      <c r="R1185" t="s">
        <v>37</v>
      </c>
      <c r="S1185">
        <v>15.727900022026432</v>
      </c>
      <c r="T1185">
        <v>0.64198862522063149</v>
      </c>
      <c r="U1185" t="s">
        <v>29</v>
      </c>
      <c r="V1185">
        <v>0</v>
      </c>
    </row>
    <row r="1186" spans="1:22" x14ac:dyDescent="0.3">
      <c r="A1186" s="1">
        <v>44942</v>
      </c>
      <c r="B1186" t="s">
        <v>22</v>
      </c>
      <c r="C1186" t="s">
        <v>41</v>
      </c>
      <c r="D1186" t="s">
        <v>46</v>
      </c>
      <c r="E1186" t="s">
        <v>33</v>
      </c>
      <c r="F1186" t="s">
        <v>26</v>
      </c>
      <c r="G1186">
        <v>475</v>
      </c>
      <c r="H1186">
        <v>4186</v>
      </c>
      <c r="I1186">
        <v>8206.4490709999991</v>
      </c>
      <c r="J1186" t="b">
        <v>1</v>
      </c>
      <c r="K1186">
        <v>11</v>
      </c>
      <c r="L1186" t="b">
        <v>0</v>
      </c>
      <c r="M1186">
        <v>89102.148090000002</v>
      </c>
      <c r="N1186">
        <v>2874</v>
      </c>
      <c r="O1186">
        <v>6711</v>
      </c>
      <c r="P1186" t="s">
        <v>27</v>
      </c>
      <c r="Q1186">
        <v>0.16527487821851078</v>
      </c>
      <c r="R1186" t="s">
        <v>28</v>
      </c>
      <c r="S1186">
        <v>17.276734886315786</v>
      </c>
      <c r="T1186">
        <v>0.42825212337952617</v>
      </c>
      <c r="U1186" t="s">
        <v>29</v>
      </c>
      <c r="V1186">
        <v>0</v>
      </c>
    </row>
    <row r="1187" spans="1:22" x14ac:dyDescent="0.3">
      <c r="A1187" s="1">
        <v>44941</v>
      </c>
      <c r="B1187" t="s">
        <v>42</v>
      </c>
      <c r="C1187" t="s">
        <v>44</v>
      </c>
      <c r="D1187" t="s">
        <v>46</v>
      </c>
      <c r="E1187" t="s">
        <v>25</v>
      </c>
      <c r="F1187" t="s">
        <v>39</v>
      </c>
      <c r="G1187">
        <v>743</v>
      </c>
      <c r="H1187">
        <v>1562</v>
      </c>
      <c r="I1187">
        <v>8750.2563169999994</v>
      </c>
      <c r="J1187" t="b">
        <v>1</v>
      </c>
      <c r="K1187">
        <v>26</v>
      </c>
      <c r="L1187" t="b">
        <v>0</v>
      </c>
      <c r="M1187">
        <v>100778.1299</v>
      </c>
      <c r="N1187">
        <v>2274.5</v>
      </c>
      <c r="O1187">
        <v>9698</v>
      </c>
      <c r="P1187" t="s">
        <v>36</v>
      </c>
      <c r="Q1187">
        <v>0.32666520114310837</v>
      </c>
      <c r="R1187" t="s">
        <v>37</v>
      </c>
      <c r="S1187">
        <v>11.77692640242261</v>
      </c>
      <c r="T1187">
        <v>0.23453289338007838</v>
      </c>
      <c r="U1187" t="s">
        <v>34</v>
      </c>
      <c r="V1187">
        <v>0</v>
      </c>
    </row>
    <row r="1188" spans="1:22" x14ac:dyDescent="0.3">
      <c r="A1188" s="1">
        <v>44940</v>
      </c>
      <c r="B1188" t="s">
        <v>30</v>
      </c>
      <c r="C1188" t="s">
        <v>44</v>
      </c>
      <c r="D1188" t="s">
        <v>35</v>
      </c>
      <c r="E1188" t="s">
        <v>25</v>
      </c>
      <c r="F1188" t="s">
        <v>26</v>
      </c>
      <c r="G1188">
        <v>539</v>
      </c>
      <c r="H1188">
        <v>2987</v>
      </c>
      <c r="I1188">
        <v>2014.022858</v>
      </c>
      <c r="J1188" t="b">
        <v>1</v>
      </c>
      <c r="K1188">
        <v>6</v>
      </c>
      <c r="L1188" t="b">
        <v>0</v>
      </c>
      <c r="M1188">
        <v>75814.410889999999</v>
      </c>
      <c r="N1188">
        <v>3358</v>
      </c>
      <c r="O1188">
        <v>8663</v>
      </c>
      <c r="P1188" t="s">
        <v>36</v>
      </c>
      <c r="Q1188">
        <v>0.16051220964860036</v>
      </c>
      <c r="R1188" t="s">
        <v>40</v>
      </c>
      <c r="S1188">
        <v>3.7365915732838593</v>
      </c>
      <c r="T1188">
        <v>0.38762553387971832</v>
      </c>
      <c r="U1188" t="s">
        <v>34</v>
      </c>
      <c r="V1188">
        <v>0</v>
      </c>
    </row>
    <row r="1189" spans="1:22" x14ac:dyDescent="0.3">
      <c r="A1189" s="1">
        <v>44939</v>
      </c>
      <c r="B1189" t="s">
        <v>30</v>
      </c>
      <c r="C1189" t="s">
        <v>44</v>
      </c>
      <c r="D1189" t="s">
        <v>46</v>
      </c>
      <c r="E1189" t="s">
        <v>33</v>
      </c>
      <c r="F1189" t="s">
        <v>43</v>
      </c>
      <c r="G1189">
        <v>240</v>
      </c>
      <c r="H1189">
        <v>3729</v>
      </c>
      <c r="I1189">
        <v>1262.3287680000001</v>
      </c>
      <c r="J1189" t="b">
        <v>1</v>
      </c>
      <c r="K1189">
        <v>6</v>
      </c>
      <c r="L1189" t="b">
        <v>0</v>
      </c>
      <c r="M1189">
        <v>19883.7287</v>
      </c>
      <c r="N1189">
        <v>2256.5</v>
      </c>
      <c r="O1189">
        <v>8971</v>
      </c>
      <c r="P1189" t="s">
        <v>27</v>
      </c>
      <c r="Q1189">
        <v>0.10635940615998227</v>
      </c>
      <c r="R1189" t="s">
        <v>40</v>
      </c>
      <c r="S1189">
        <v>5.2597032000000006</v>
      </c>
      <c r="T1189">
        <v>0.25153271653104448</v>
      </c>
      <c r="U1189" t="s">
        <v>34</v>
      </c>
      <c r="V1189">
        <v>0</v>
      </c>
    </row>
    <row r="1190" spans="1:22" x14ac:dyDescent="0.3">
      <c r="A1190" s="1">
        <v>44938</v>
      </c>
      <c r="B1190" t="s">
        <v>30</v>
      </c>
      <c r="C1190" t="s">
        <v>23</v>
      </c>
      <c r="D1190" t="s">
        <v>35</v>
      </c>
      <c r="E1190" t="s">
        <v>45</v>
      </c>
      <c r="F1190" t="s">
        <v>43</v>
      </c>
      <c r="G1190">
        <v>810</v>
      </c>
      <c r="H1190">
        <v>784</v>
      </c>
      <c r="I1190">
        <v>12850.95991</v>
      </c>
      <c r="J1190" t="b">
        <v>1</v>
      </c>
      <c r="K1190">
        <v>20</v>
      </c>
      <c r="L1190" t="b">
        <v>0</v>
      </c>
      <c r="M1190">
        <v>112337.44779999999</v>
      </c>
      <c r="N1190">
        <v>2711.5</v>
      </c>
      <c r="O1190">
        <v>8131</v>
      </c>
      <c r="P1190" t="s">
        <v>36</v>
      </c>
      <c r="Q1190">
        <v>0.29872764152683018</v>
      </c>
      <c r="R1190" t="s">
        <v>37</v>
      </c>
      <c r="S1190">
        <v>15.86538260493827</v>
      </c>
      <c r="T1190">
        <v>0.33347681711966548</v>
      </c>
      <c r="U1190" t="s">
        <v>34</v>
      </c>
      <c r="V1190">
        <v>0</v>
      </c>
    </row>
    <row r="1191" spans="1:22" x14ac:dyDescent="0.3">
      <c r="A1191" s="1">
        <v>44937</v>
      </c>
      <c r="B1191" t="s">
        <v>30</v>
      </c>
      <c r="C1191" t="s">
        <v>41</v>
      </c>
      <c r="D1191" t="s">
        <v>35</v>
      </c>
      <c r="E1191" t="s">
        <v>45</v>
      </c>
      <c r="F1191" t="s">
        <v>26</v>
      </c>
      <c r="G1191">
        <v>882</v>
      </c>
      <c r="H1191">
        <v>4639</v>
      </c>
      <c r="I1191">
        <v>13691.283460000001</v>
      </c>
      <c r="J1191" t="b">
        <v>1</v>
      </c>
      <c r="K1191">
        <v>25</v>
      </c>
      <c r="L1191" t="b">
        <v>0</v>
      </c>
      <c r="M1191">
        <v>149700.397</v>
      </c>
      <c r="N1191">
        <v>4626.5</v>
      </c>
      <c r="O1191">
        <v>8664</v>
      </c>
      <c r="P1191" t="s">
        <v>27</v>
      </c>
      <c r="Q1191">
        <v>0.19064087323030368</v>
      </c>
      <c r="R1191" t="s">
        <v>37</v>
      </c>
      <c r="S1191">
        <v>15.522997120181406</v>
      </c>
      <c r="T1191">
        <v>0.53399122807017541</v>
      </c>
      <c r="U1191" t="s">
        <v>29</v>
      </c>
      <c r="V1191">
        <v>0</v>
      </c>
    </row>
    <row r="1192" spans="1:22" x14ac:dyDescent="0.3">
      <c r="A1192" s="1">
        <v>44936</v>
      </c>
      <c r="B1192" t="s">
        <v>38</v>
      </c>
      <c r="C1192" t="s">
        <v>41</v>
      </c>
      <c r="D1192" t="s">
        <v>32</v>
      </c>
      <c r="E1192" t="s">
        <v>45</v>
      </c>
      <c r="F1192" t="s">
        <v>43</v>
      </c>
      <c r="G1192">
        <v>434</v>
      </c>
      <c r="H1192">
        <v>4614</v>
      </c>
      <c r="I1192">
        <v>14766.64228</v>
      </c>
      <c r="J1192" t="b">
        <v>1</v>
      </c>
      <c r="K1192">
        <v>4</v>
      </c>
      <c r="L1192" t="b">
        <v>0</v>
      </c>
      <c r="M1192">
        <v>49121.057560000001</v>
      </c>
      <c r="N1192">
        <v>4396.5</v>
      </c>
      <c r="O1192">
        <v>6791</v>
      </c>
      <c r="P1192" t="s">
        <v>27</v>
      </c>
      <c r="Q1192">
        <v>9.8714886841805988E-2</v>
      </c>
      <c r="R1192" t="s">
        <v>40</v>
      </c>
      <c r="S1192">
        <v>34.02452138248848</v>
      </c>
      <c r="T1192">
        <v>0.64740097187453982</v>
      </c>
      <c r="U1192" t="s">
        <v>29</v>
      </c>
      <c r="V1192">
        <v>0</v>
      </c>
    </row>
    <row r="1193" spans="1:22" x14ac:dyDescent="0.3">
      <c r="A1193" s="1">
        <v>44935</v>
      </c>
      <c r="B1193" t="s">
        <v>30</v>
      </c>
      <c r="C1193" t="s">
        <v>41</v>
      </c>
      <c r="D1193" t="s">
        <v>35</v>
      </c>
      <c r="E1193" t="s">
        <v>45</v>
      </c>
      <c r="F1193" t="s">
        <v>26</v>
      </c>
      <c r="G1193">
        <v>160</v>
      </c>
      <c r="H1193">
        <v>4179</v>
      </c>
      <c r="I1193">
        <v>12333.339120000001</v>
      </c>
      <c r="J1193" t="b">
        <v>1</v>
      </c>
      <c r="K1193">
        <v>22</v>
      </c>
      <c r="L1193" t="b">
        <v>0</v>
      </c>
      <c r="M1193">
        <v>16374.895420000001</v>
      </c>
      <c r="N1193">
        <v>2649</v>
      </c>
      <c r="O1193">
        <v>5287</v>
      </c>
      <c r="P1193" t="s">
        <v>27</v>
      </c>
      <c r="Q1193">
        <v>6.0400151000377503E-2</v>
      </c>
      <c r="R1193" t="s">
        <v>37</v>
      </c>
      <c r="S1193">
        <v>77.083369500000003</v>
      </c>
      <c r="T1193">
        <v>0.50104028749763574</v>
      </c>
      <c r="U1193" t="s">
        <v>29</v>
      </c>
      <c r="V1193">
        <v>0</v>
      </c>
    </row>
    <row r="1194" spans="1:22" x14ac:dyDescent="0.3">
      <c r="A1194" s="1">
        <v>44934</v>
      </c>
      <c r="B1194" t="s">
        <v>22</v>
      </c>
      <c r="C1194" t="s">
        <v>44</v>
      </c>
      <c r="D1194" t="s">
        <v>35</v>
      </c>
      <c r="E1194" t="s">
        <v>45</v>
      </c>
      <c r="F1194" t="s">
        <v>26</v>
      </c>
      <c r="G1194">
        <v>662</v>
      </c>
      <c r="H1194">
        <v>1119</v>
      </c>
      <c r="I1194">
        <v>13002.065640000001</v>
      </c>
      <c r="J1194" t="b">
        <v>1</v>
      </c>
      <c r="K1194">
        <v>20</v>
      </c>
      <c r="L1194" t="b">
        <v>0</v>
      </c>
      <c r="M1194">
        <v>63905.56695</v>
      </c>
      <c r="N1194">
        <v>1292.5</v>
      </c>
      <c r="O1194">
        <v>9580</v>
      </c>
      <c r="P1194" t="s">
        <v>36</v>
      </c>
      <c r="Q1194">
        <v>0.51218568665377173</v>
      </c>
      <c r="R1194" t="s">
        <v>37</v>
      </c>
      <c r="S1194">
        <v>19.640582537764352</v>
      </c>
      <c r="T1194">
        <v>0.13491649269311065</v>
      </c>
      <c r="U1194" t="s">
        <v>34</v>
      </c>
      <c r="V1194">
        <v>0</v>
      </c>
    </row>
    <row r="1195" spans="1:22" x14ac:dyDescent="0.3">
      <c r="A1195" s="1">
        <v>44933</v>
      </c>
      <c r="B1195" t="s">
        <v>22</v>
      </c>
      <c r="C1195" t="s">
        <v>41</v>
      </c>
      <c r="D1195" t="s">
        <v>46</v>
      </c>
      <c r="E1195" t="s">
        <v>45</v>
      </c>
      <c r="F1195" t="s">
        <v>26</v>
      </c>
      <c r="G1195">
        <v>601</v>
      </c>
      <c r="H1195">
        <v>1466</v>
      </c>
      <c r="I1195">
        <v>2487.265641</v>
      </c>
      <c r="J1195" t="b">
        <v>1</v>
      </c>
      <c r="K1195">
        <v>16</v>
      </c>
      <c r="L1195" t="b">
        <v>0</v>
      </c>
      <c r="M1195">
        <v>95124.608139999997</v>
      </c>
      <c r="N1195">
        <v>2741</v>
      </c>
      <c r="O1195">
        <v>8424</v>
      </c>
      <c r="P1195" t="s">
        <v>36</v>
      </c>
      <c r="Q1195">
        <v>0.2192630426851514</v>
      </c>
      <c r="R1195" t="s">
        <v>37</v>
      </c>
      <c r="S1195">
        <v>4.138545159733777</v>
      </c>
      <c r="T1195">
        <v>0.32537986704653371</v>
      </c>
      <c r="U1195" t="s">
        <v>34</v>
      </c>
      <c r="V1195">
        <v>0</v>
      </c>
    </row>
    <row r="1196" spans="1:22" x14ac:dyDescent="0.3">
      <c r="A1196" s="1">
        <v>44932</v>
      </c>
      <c r="B1196" t="s">
        <v>42</v>
      </c>
      <c r="C1196" t="s">
        <v>44</v>
      </c>
      <c r="D1196" t="s">
        <v>24</v>
      </c>
      <c r="E1196" t="s">
        <v>45</v>
      </c>
      <c r="F1196" t="s">
        <v>26</v>
      </c>
      <c r="G1196">
        <v>327</v>
      </c>
      <c r="H1196">
        <v>4016</v>
      </c>
      <c r="I1196">
        <v>6940.6672449999996</v>
      </c>
      <c r="J1196" t="b">
        <v>1</v>
      </c>
      <c r="K1196">
        <v>18</v>
      </c>
      <c r="L1196" t="b">
        <v>0</v>
      </c>
      <c r="M1196">
        <v>29810.684229999999</v>
      </c>
      <c r="N1196">
        <v>4252.5</v>
      </c>
      <c r="O1196">
        <v>5416</v>
      </c>
      <c r="P1196" t="s">
        <v>36</v>
      </c>
      <c r="Q1196">
        <v>7.6895943562610231E-2</v>
      </c>
      <c r="R1196" t="s">
        <v>37</v>
      </c>
      <c r="S1196">
        <v>21.225282094801223</v>
      </c>
      <c r="T1196">
        <v>0.78517355982274739</v>
      </c>
      <c r="U1196" t="s">
        <v>29</v>
      </c>
      <c r="V1196">
        <v>0</v>
      </c>
    </row>
    <row r="1197" spans="1:22" x14ac:dyDescent="0.3">
      <c r="A1197" s="1">
        <v>44931</v>
      </c>
      <c r="B1197" t="s">
        <v>30</v>
      </c>
      <c r="C1197" t="s">
        <v>41</v>
      </c>
      <c r="D1197" t="s">
        <v>35</v>
      </c>
      <c r="E1197" t="s">
        <v>33</v>
      </c>
      <c r="F1197" t="s">
        <v>43</v>
      </c>
      <c r="G1197">
        <v>488</v>
      </c>
      <c r="H1197">
        <v>4489</v>
      </c>
      <c r="I1197">
        <v>13060.376619999999</v>
      </c>
      <c r="J1197" t="b">
        <v>1</v>
      </c>
      <c r="K1197">
        <v>29</v>
      </c>
      <c r="L1197" t="b">
        <v>0</v>
      </c>
      <c r="M1197">
        <v>64393.196900000003</v>
      </c>
      <c r="N1197">
        <v>3614</v>
      </c>
      <c r="O1197">
        <v>8820</v>
      </c>
      <c r="P1197" t="s">
        <v>27</v>
      </c>
      <c r="Q1197">
        <v>0.13503043718871058</v>
      </c>
      <c r="R1197" t="s">
        <v>37</v>
      </c>
      <c r="S1197">
        <v>26.763066844262294</v>
      </c>
      <c r="T1197">
        <v>0.40975056689342404</v>
      </c>
      <c r="U1197" t="s">
        <v>29</v>
      </c>
      <c r="V1197">
        <v>0</v>
      </c>
    </row>
    <row r="1198" spans="1:22" x14ac:dyDescent="0.3">
      <c r="A1198" s="1">
        <v>44930</v>
      </c>
      <c r="B1198" t="s">
        <v>30</v>
      </c>
      <c r="C1198" t="s">
        <v>44</v>
      </c>
      <c r="D1198" t="s">
        <v>24</v>
      </c>
      <c r="E1198" t="s">
        <v>45</v>
      </c>
      <c r="F1198" t="s">
        <v>26</v>
      </c>
      <c r="G1198">
        <v>946</v>
      </c>
      <c r="H1198">
        <v>2739</v>
      </c>
      <c r="I1198">
        <v>3052.3589480000001</v>
      </c>
      <c r="J1198" t="b">
        <v>1</v>
      </c>
      <c r="K1198">
        <v>14</v>
      </c>
      <c r="L1198" t="b">
        <v>0</v>
      </c>
      <c r="M1198">
        <v>105773.0557</v>
      </c>
      <c r="N1198">
        <v>2015</v>
      </c>
      <c r="O1198">
        <v>7697</v>
      </c>
      <c r="P1198" t="s">
        <v>27</v>
      </c>
      <c r="Q1198">
        <v>0.46947890818858562</v>
      </c>
      <c r="R1198" t="s">
        <v>28</v>
      </c>
      <c r="S1198">
        <v>3.2265950824524312</v>
      </c>
      <c r="T1198">
        <v>0.26179030791217356</v>
      </c>
      <c r="U1198" t="s">
        <v>34</v>
      </c>
      <c r="V1198">
        <v>0</v>
      </c>
    </row>
    <row r="1199" spans="1:22" x14ac:dyDescent="0.3">
      <c r="A1199" s="1">
        <v>44929</v>
      </c>
      <c r="B1199" t="s">
        <v>22</v>
      </c>
      <c r="C1199" t="s">
        <v>23</v>
      </c>
      <c r="D1199" t="s">
        <v>35</v>
      </c>
      <c r="E1199" t="s">
        <v>33</v>
      </c>
      <c r="F1199" t="s">
        <v>26</v>
      </c>
      <c r="G1199">
        <v>637</v>
      </c>
      <c r="H1199">
        <v>1291</v>
      </c>
      <c r="I1199">
        <v>3774.6746670000002</v>
      </c>
      <c r="J1199" t="b">
        <v>1</v>
      </c>
      <c r="K1199">
        <v>15</v>
      </c>
      <c r="L1199" t="b">
        <v>0</v>
      </c>
      <c r="M1199">
        <v>96050.323910000006</v>
      </c>
      <c r="N1199">
        <v>758.5</v>
      </c>
      <c r="O1199">
        <v>5386</v>
      </c>
      <c r="P1199" t="s">
        <v>27</v>
      </c>
      <c r="Q1199">
        <v>0.83981542518127883</v>
      </c>
      <c r="R1199" t="s">
        <v>37</v>
      </c>
      <c r="S1199">
        <v>5.9257059136577714</v>
      </c>
      <c r="T1199">
        <v>0.14082807278128481</v>
      </c>
      <c r="U1199" t="s">
        <v>34</v>
      </c>
      <c r="V1199">
        <v>0</v>
      </c>
    </row>
    <row r="1200" spans="1:22" x14ac:dyDescent="0.3">
      <c r="A1200" s="1">
        <v>44928</v>
      </c>
      <c r="B1200" t="s">
        <v>42</v>
      </c>
      <c r="C1200" t="s">
        <v>44</v>
      </c>
      <c r="D1200" t="s">
        <v>32</v>
      </c>
      <c r="E1200" t="s">
        <v>25</v>
      </c>
      <c r="F1200" t="s">
        <v>43</v>
      </c>
      <c r="G1200">
        <v>906</v>
      </c>
      <c r="H1200">
        <v>226</v>
      </c>
      <c r="I1200">
        <v>11776.90359</v>
      </c>
      <c r="J1200" t="b">
        <v>1</v>
      </c>
      <c r="K1200">
        <v>2</v>
      </c>
      <c r="L1200" t="b">
        <v>0</v>
      </c>
      <c r="M1200">
        <v>88010.317020000002</v>
      </c>
      <c r="N1200">
        <v>1761.5</v>
      </c>
      <c r="O1200">
        <v>8729</v>
      </c>
      <c r="P1200" t="s">
        <v>36</v>
      </c>
      <c r="Q1200">
        <v>0.51433437411297189</v>
      </c>
      <c r="R1200" t="s">
        <v>40</v>
      </c>
      <c r="S1200">
        <v>12.998789834437085</v>
      </c>
      <c r="T1200">
        <v>0.20179860235994959</v>
      </c>
      <c r="U1200" t="s">
        <v>34</v>
      </c>
      <c r="V1200">
        <v>0</v>
      </c>
    </row>
    <row r="1201" spans="1:22" x14ac:dyDescent="0.3">
      <c r="A1201" s="1">
        <v>44927</v>
      </c>
      <c r="B1201" t="s">
        <v>30</v>
      </c>
      <c r="C1201" t="s">
        <v>41</v>
      </c>
      <c r="D1201" t="s">
        <v>24</v>
      </c>
      <c r="E1201" t="s">
        <v>25</v>
      </c>
      <c r="F1201" t="s">
        <v>26</v>
      </c>
      <c r="G1201">
        <v>613</v>
      </c>
      <c r="H1201">
        <v>3297</v>
      </c>
      <c r="I1201">
        <v>14897.680249999999</v>
      </c>
      <c r="J1201" t="b">
        <v>1</v>
      </c>
      <c r="K1201">
        <v>17</v>
      </c>
      <c r="L1201" t="b">
        <v>0</v>
      </c>
      <c r="M1201">
        <v>104802.6572</v>
      </c>
      <c r="N1201">
        <v>1648.5</v>
      </c>
      <c r="O1201">
        <v>7314</v>
      </c>
      <c r="P1201" t="s">
        <v>27</v>
      </c>
      <c r="Q1201">
        <v>0.3718531998786776</v>
      </c>
      <c r="R1201" t="s">
        <v>37</v>
      </c>
      <c r="S1201">
        <v>24.302904159869492</v>
      </c>
      <c r="T1201">
        <v>0.22538966365873667</v>
      </c>
      <c r="U1201" t="s">
        <v>34</v>
      </c>
      <c r="V1201">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CBB72-F182-4EC6-B80D-3F573E67F8C2}">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D4CBD6-E0A3-4CCA-AB19-0300E44E17E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Sheet3</vt:lpstr>
      <vt:lpstr>KPI_Fulfillment</vt:lpstr>
      <vt:lpstr>KPI_Cancellation &amp; Pending</vt:lpstr>
      <vt:lpstr>Executive_Dashboard</vt:lpstr>
      <vt:lpstr>Pivot_KPI_Helper</vt:lpstr>
      <vt:lpstr>supply_chain_cleaned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Devendra   Kumar</dc:creator>
  <cp:lastModifiedBy>Devendra   Kumar</cp:lastModifiedBy>
  <dcterms:created xsi:type="dcterms:W3CDTF">2026-01-11T17:33:24Z</dcterms:created>
  <dcterms:modified xsi:type="dcterms:W3CDTF">2026-01-12T10:32:34Z</dcterms:modified>
</cp:coreProperties>
</file>